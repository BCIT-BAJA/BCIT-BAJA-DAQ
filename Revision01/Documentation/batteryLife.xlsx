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ry\Documents\GITHUB_desktop\BCIT-BAJA-DAQ\Revision01\Documentation\"/>
    </mc:Choice>
  </mc:AlternateContent>
  <xr:revisionPtr revIDLastSave="0" documentId="13_ncr:1_{232E7683-EA15-41C6-A48D-98A340FB59AC}" xr6:coauthVersionLast="47" xr6:coauthVersionMax="47" xr10:uidLastSave="{00000000-0000-0000-0000-000000000000}"/>
  <bookViews>
    <workbookView xWindow="-120" yWindow="-120" windowWidth="29040" windowHeight="17520" xr2:uid="{0FECAE57-09D3-4FA9-ADED-16D969974D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C19" i="1"/>
  <c r="C18" i="1"/>
  <c r="C14" i="1"/>
  <c r="B10" i="1"/>
  <c r="B14" i="1"/>
  <c r="B17" i="1"/>
  <c r="B19" i="1"/>
  <c r="B18" i="1"/>
</calcChain>
</file>

<file path=xl/sharedStrings.xml><?xml version="1.0" encoding="utf-8"?>
<sst xmlns="http://schemas.openxmlformats.org/spreadsheetml/2006/main" count="17" uniqueCount="17">
  <si>
    <t>BATTERY LIFE CALCULATIONS</t>
  </si>
  <si>
    <t>Calculations</t>
  </si>
  <si>
    <t>Strain Gauge Resistance (ohm)</t>
  </si>
  <si>
    <t>Number of Strain Gauges in Parallel</t>
  </si>
  <si>
    <t>Load voltage (V)</t>
  </si>
  <si>
    <t>Equivalent Parallel Resistance (ohm)</t>
  </si>
  <si>
    <t>Capacity Per Cell (mAh)</t>
  </si>
  <si>
    <t>Capacity Per Cell (Ah)</t>
  </si>
  <si>
    <t>Number of Cells</t>
  </si>
  <si>
    <t>Total Battery Capacity (Ah) (In Series)</t>
  </si>
  <si>
    <t>Total Hours Running With Load (h)</t>
  </si>
  <si>
    <t>Min voltage</t>
  </si>
  <si>
    <t>Max voltage</t>
  </si>
  <si>
    <t>Current draw theoretical maximum(A)</t>
  </si>
  <si>
    <t>Battery type</t>
  </si>
  <si>
    <t>ALKALINE AA NON-RECHARGABLE 6X</t>
  </si>
  <si>
    <t>SODIUM ION RECHARGABLE 3X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</si>
</sst>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4" fillId="0" borderId="1" xfId="0" applyFont="1" applyBorder="1" applyAlignment="1">
      <alignment horizontal="right" wrapText="1"/>
    </xf>
    <xf numFmtId="0" fontId="3" fillId="0" borderId="2" xfId="0" applyFont="1" applyBorder="1" applyAlignment="1">
      <alignment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F1DCD-8AB1-4E9D-AB6B-48E3B937CBD7}">
  <dimension ref="A1:H21"/>
  <sheetViews>
    <sheetView tabSelected="1" zoomScale="147" zoomScaleNormal="100" workbookViewId="0">
      <selection activeCell="C14" sqref="C14"/>
    </sheetView>
  </sheetViews>
  <sheetFormatPr defaultRowHeight="15" x14ac:dyDescent="0.25"/>
  <cols>
    <col min="1" max="1" width="40.140625" customWidth="1"/>
    <col min="2" max="2" width="29.28515625" customWidth="1"/>
    <col min="3" max="3" width="41.85546875" customWidth="1"/>
  </cols>
  <sheetData>
    <row r="1" spans="1:8" x14ac:dyDescent="0.25">
      <c r="A1" s="6" t="s">
        <v>0</v>
      </c>
      <c r="B1" s="6"/>
      <c r="C1" s="6"/>
      <c r="D1" s="6"/>
      <c r="E1" s="6"/>
      <c r="F1" s="6"/>
      <c r="G1" s="6"/>
      <c r="H1" s="6"/>
    </row>
    <row r="2" spans="1:8" x14ac:dyDescent="0.25">
      <c r="A2" s="6"/>
      <c r="B2" s="6"/>
      <c r="C2" s="6"/>
      <c r="D2" s="6"/>
      <c r="E2" s="6"/>
      <c r="F2" s="6"/>
      <c r="G2" s="6"/>
      <c r="H2" s="6"/>
    </row>
    <row r="3" spans="1:8" x14ac:dyDescent="0.25">
      <c r="A3" s="6"/>
      <c r="B3" s="6"/>
      <c r="C3" s="6"/>
      <c r="D3" s="6"/>
      <c r="E3" s="6"/>
      <c r="F3" s="6"/>
      <c r="G3" s="6"/>
      <c r="H3" s="6"/>
    </row>
    <row r="4" spans="1:8" x14ac:dyDescent="0.25">
      <c r="A4" s="6"/>
      <c r="B4" s="6"/>
      <c r="C4" s="6"/>
      <c r="D4" s="6"/>
      <c r="E4" s="6"/>
      <c r="F4" s="6"/>
      <c r="G4" s="6"/>
      <c r="H4" s="6"/>
    </row>
    <row r="5" spans="1:8" ht="15.75" thickBot="1" x14ac:dyDescent="0.3"/>
    <row r="6" spans="1:8" ht="27" thickBot="1" x14ac:dyDescent="0.3">
      <c r="A6" s="1" t="s">
        <v>1</v>
      </c>
      <c r="B6" s="2"/>
    </row>
    <row r="7" spans="1:8" ht="52.5" thickBot="1" x14ac:dyDescent="0.3">
      <c r="A7" s="2" t="s">
        <v>2</v>
      </c>
      <c r="B7" s="3">
        <v>350</v>
      </c>
    </row>
    <row r="8" spans="1:8" ht="52.5" thickBot="1" x14ac:dyDescent="0.3">
      <c r="A8" s="2" t="s">
        <v>3</v>
      </c>
      <c r="B8" s="3">
        <v>8</v>
      </c>
    </row>
    <row r="9" spans="1:8" ht="15.75" thickBot="1" x14ac:dyDescent="0.3">
      <c r="A9" s="2" t="s">
        <v>4</v>
      </c>
      <c r="B9" s="3">
        <v>4.8</v>
      </c>
    </row>
    <row r="10" spans="1:8" ht="52.5" thickBot="1" x14ac:dyDescent="0.3">
      <c r="A10" s="2" t="s">
        <v>5</v>
      </c>
      <c r="B10" s="3">
        <f>B7/B8</f>
        <v>43.75</v>
      </c>
    </row>
    <row r="11" spans="1:8" ht="15.75" thickBot="1" x14ac:dyDescent="0.3">
      <c r="A11" s="2" t="s">
        <v>13</v>
      </c>
      <c r="B11" s="3">
        <v>0.3</v>
      </c>
    </row>
    <row r="12" spans="1:8" ht="15.75" thickBot="1" x14ac:dyDescent="0.3">
      <c r="A12" s="5" t="s">
        <v>14</v>
      </c>
      <c r="B12" t="s">
        <v>16</v>
      </c>
      <c r="C12" t="s">
        <v>15</v>
      </c>
    </row>
    <row r="13" spans="1:8" ht="15.75" thickBot="1" x14ac:dyDescent="0.3">
      <c r="A13" s="2" t="s">
        <v>6</v>
      </c>
      <c r="B13" s="3">
        <v>1500</v>
      </c>
      <c r="C13" s="3">
        <v>2000</v>
      </c>
    </row>
    <row r="14" spans="1:8" ht="15.75" thickBot="1" x14ac:dyDescent="0.3">
      <c r="A14" s="2" t="s">
        <v>7</v>
      </c>
      <c r="B14" s="4">
        <f>B13/1000</f>
        <v>1.5</v>
      </c>
      <c r="C14" s="4">
        <f>C13/1000</f>
        <v>2</v>
      </c>
    </row>
    <row r="15" spans="1:8" ht="15.75" thickBot="1" x14ac:dyDescent="0.3">
      <c r="A15" s="2" t="s">
        <v>8</v>
      </c>
      <c r="B15" s="3">
        <v>4</v>
      </c>
      <c r="C15" s="3">
        <v>6</v>
      </c>
    </row>
    <row r="16" spans="1:8" ht="15.75" thickBot="1" x14ac:dyDescent="0.3">
      <c r="A16" s="2" t="s">
        <v>9</v>
      </c>
      <c r="B16" s="3">
        <v>0</v>
      </c>
      <c r="C16" s="3">
        <v>0</v>
      </c>
    </row>
    <row r="17" spans="1:3" ht="15.75" thickBot="1" x14ac:dyDescent="0.3">
      <c r="A17" s="2" t="s">
        <v>10</v>
      </c>
      <c r="B17" s="3">
        <f>B16/B11</f>
        <v>0</v>
      </c>
      <c r="C17">
        <f>C16/B11</f>
        <v>0</v>
      </c>
    </row>
    <row r="18" spans="1:3" ht="15.75" thickBot="1" x14ac:dyDescent="0.3">
      <c r="A18" s="2" t="s">
        <v>11</v>
      </c>
      <c r="B18" s="3">
        <f>1.5*B15</f>
        <v>6</v>
      </c>
      <c r="C18" s="3">
        <f>1*C15</f>
        <v>6</v>
      </c>
    </row>
    <row r="19" spans="1:3" ht="15.75" thickBot="1" x14ac:dyDescent="0.3">
      <c r="A19" s="2" t="s">
        <v>12</v>
      </c>
      <c r="B19" s="3">
        <f>4*B15</f>
        <v>16</v>
      </c>
      <c r="C19" s="3">
        <f>1.6*C15</f>
        <v>9.6000000000000014</v>
      </c>
    </row>
    <row r="20" spans="1:3" ht="15.75" thickBot="1" x14ac:dyDescent="0.3">
      <c r="A20" s="2"/>
      <c r="B20" s="2"/>
    </row>
    <row r="21" spans="1:3" ht="15.75" thickBot="1" x14ac:dyDescent="0.3">
      <c r="A21" s="2"/>
      <c r="B21" s="3"/>
    </row>
  </sheetData>
  <mergeCells count="1">
    <mergeCell ref="A1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Parry Zhuo</dc:creator>
  <cp:lastModifiedBy>Parry Zhuo</cp:lastModifiedBy>
  <dcterms:created xsi:type="dcterms:W3CDTF">2025-09-06T00:50:37Z</dcterms:created>
  <dcterms:modified xsi:type="dcterms:W3CDTF">2025-09-06T03:05:18Z</dcterms:modified>
</cp:coreProperties>
</file>