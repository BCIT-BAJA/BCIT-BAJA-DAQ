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rry\Documents\GitHub\BCIT-BAJA-DAQ\Revision01\Testing\"/>
    </mc:Choice>
  </mc:AlternateContent>
  <xr:revisionPtr revIDLastSave="0" documentId="13_ncr:1_{4D82BD88-31B4-43C6-B900-AB203308294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nalysis" sheetId="1" r:id="rId1"/>
    <sheet name="Double Analysis" sheetId="2" r:id="rId2"/>
    <sheet name="Comparison" sheetId="3" r:id="rId3"/>
    <sheet name="Manual Fitting" sheetId="4" r:id="rId4"/>
    <sheet name="Guts" sheetId="5" r:id="rId5"/>
  </sheets>
  <externalReferences>
    <externalReference r:id="rId6"/>
  </externalReferences>
  <definedNames>
    <definedName name="DA_x1data">INDIRECT("'" &amp;"Double Analysis" &amp;"'" &amp;"!" &amp; ADDRESS(Guts!$D$38,1)):INDIRECT("'" &amp;"Double Analysis" &amp;"'" &amp;"!" &amp; ADDRESS(Guts!$D$35,1))</definedName>
    <definedName name="DA_x2data">INDIRECT("'" &amp;"Double Analysis" &amp;"'" &amp;"!" &amp; ADDRESS(Guts!$D$44,4)):INDIRECT("'" &amp;"Double Analysis" &amp;"'" &amp;"!" &amp; ADDRESS(Guts!$D$41,4))</definedName>
    <definedName name="DA_y1data">INDIRECT("'" &amp;"Double Analysis" &amp;"'" &amp;"!" &amp; ADDRESS(Guts!$D$38,2)):INDIRECT("'" &amp;"Double Analysis" &amp;"'" &amp;"!" &amp; ADDRESS(Guts!$D$35,2))</definedName>
    <definedName name="DA_y2data">INDIRECT("'" &amp;"Double Analysis" &amp;"'" &amp;"!" &amp; ADDRESS(Guts!$D$44,5)):INDIRECT("'" &amp;"Double Analysis" &amp;"'" &amp;"!" &amp; ADDRESS(Guts!$D$41,5))</definedName>
    <definedName name="mf_xData">INDIRECT("'" &amp;"Manual Fitting" &amp;"'" &amp;"!" &amp; ADDRESS(Guts!$D$68,1)):INDIRECT("'" &amp;"Manual Fitting" &amp;"'" &amp;"!" &amp; ADDRESS(Guts!$D$65,1))</definedName>
    <definedName name="mf_yData">INDIRECT("'" &amp;"Manual Fitting" &amp;"'" &amp;"!" &amp; ADDRESS(Guts!$D$68,2)):INDIRECT("'" &amp;"Manual Fitting" &amp;"'" &amp;"!" &amp; ADDRESS(Guts!$D$65,2))</definedName>
    <definedName name="solver_adj" localSheetId="4">Guts!$AI$15:$AI$17</definedName>
    <definedName name="solver_cvg" localSheetId="4">0.0001</definedName>
    <definedName name="solver_drv" localSheetId="4">1</definedName>
    <definedName name="solver_eng" localSheetId="0">1</definedName>
    <definedName name="solver_eng" localSheetId="4">1</definedName>
    <definedName name="solver_itr" localSheetId="4">2147483647</definedName>
    <definedName name="solver_lin" localSheetId="0">2</definedName>
    <definedName name="solver_lin" localSheetId="4">2</definedName>
    <definedName name="solver_mip" localSheetId="4">2147483647</definedName>
    <definedName name="solver_mni" localSheetId="4">30</definedName>
    <definedName name="solver_mrt" localSheetId="4">0.075</definedName>
    <definedName name="solver_msl" localSheetId="4">2</definedName>
    <definedName name="solver_neg" localSheetId="0">1</definedName>
    <definedName name="solver_neg" localSheetId="4">1</definedName>
    <definedName name="solver_nod" localSheetId="4">2147483647</definedName>
    <definedName name="solver_num" localSheetId="0">0</definedName>
    <definedName name="solver_num" localSheetId="4">0</definedName>
    <definedName name="solver_opt" localSheetId="0">Analysis!$A$7</definedName>
    <definedName name="solver_opt" localSheetId="4">Guts!$AQ$104</definedName>
    <definedName name="solver_pre" localSheetId="4">0.000001</definedName>
    <definedName name="solver_rbv" localSheetId="4">1</definedName>
    <definedName name="solver_rlx" localSheetId="4">2</definedName>
    <definedName name="solver_rsd" localSheetId="4">0</definedName>
    <definedName name="solver_scl" localSheetId="4">1</definedName>
    <definedName name="solver_sho" localSheetId="4">2</definedName>
    <definedName name="solver_ssz" localSheetId="4">100</definedName>
    <definedName name="solver_tim" localSheetId="4">2147483647</definedName>
    <definedName name="solver_tol" localSheetId="4">0.01</definedName>
    <definedName name="solver_typ" localSheetId="0">1</definedName>
    <definedName name="solver_typ" localSheetId="4">2</definedName>
    <definedName name="solver_val" localSheetId="0">0</definedName>
    <definedName name="solver_val" localSheetId="4">0</definedName>
    <definedName name="solver_ver" localSheetId="0">2</definedName>
    <definedName name="solver_ver" localSheetId="4">2</definedName>
    <definedName name="x1Data">INDIRECT("'"&amp;"Analysis"&amp;"'"&amp;"!"&amp;ADDRESS(Guts!$D$7,1)):INDIRECT("'"&amp;"Analysis"&amp;"'"&amp;"!"&amp;ADDRESS(Guts!$D$4,1))</definedName>
    <definedName name="xtograph" localSheetId="4">Guts!$N$2:INDIRECT("'"&amp;"Guts"&amp;"'"&amp;"!"&amp;ADDRESS(Guts!$A$60,14))</definedName>
    <definedName name="y1Data">INDIRECT("'"&amp;"Analysis"&amp;"'"&amp;"!"&amp;ADDRESS(Guts!$D$7,2)):INDIRECT("'"&amp;"Analysis"&amp;"'"&amp;"!"&amp;ADDRESS(Guts!$D$4,2))</definedName>
    <definedName name="ytograph" localSheetId="4">Guts!$O$2:INDIRECT("'"&amp;"Guts"&amp;"'"&amp;"!"&amp;ADDRESS(Guts!$A$60,15))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h6W92TO+gxgBDaUYSHRpKcnu09Mm1n6zsZvW5aXusnA="/>
    </ext>
  </extLst>
</workbook>
</file>

<file path=xl/calcChain.xml><?xml version="1.0" encoding="utf-8"?>
<calcChain xmlns="http://schemas.openxmlformats.org/spreadsheetml/2006/main">
  <c r="AK102" i="5" l="1"/>
  <c r="AF102" i="5"/>
  <c r="AC102" i="5"/>
  <c r="AB102" i="5"/>
  <c r="Y102" i="5"/>
  <c r="R102" i="5"/>
  <c r="P102" i="5"/>
  <c r="H102" i="5"/>
  <c r="AK101" i="5"/>
  <c r="AF101" i="5"/>
  <c r="AC101" i="5"/>
  <c r="AB101" i="5"/>
  <c r="Y101" i="5"/>
  <c r="R101" i="5"/>
  <c r="P101" i="5"/>
  <c r="H101" i="5"/>
  <c r="AK100" i="5"/>
  <c r="AF100" i="5"/>
  <c r="AC100" i="5"/>
  <c r="AB100" i="5"/>
  <c r="Y100" i="5"/>
  <c r="R100" i="5"/>
  <c r="P100" i="5"/>
  <c r="H100" i="5"/>
  <c r="AK99" i="5"/>
  <c r="AF99" i="5"/>
  <c r="AC99" i="5"/>
  <c r="AB99" i="5"/>
  <c r="Y99" i="5"/>
  <c r="R99" i="5"/>
  <c r="P99" i="5"/>
  <c r="H99" i="5"/>
  <c r="AK98" i="5"/>
  <c r="AF98" i="5"/>
  <c r="AC98" i="5"/>
  <c r="AB98" i="5"/>
  <c r="Y98" i="5"/>
  <c r="R98" i="5"/>
  <c r="P98" i="5"/>
  <c r="H98" i="5"/>
  <c r="AK97" i="5"/>
  <c r="AF97" i="5"/>
  <c r="AC97" i="5"/>
  <c r="AB97" i="5"/>
  <c r="Y97" i="5"/>
  <c r="R97" i="5"/>
  <c r="P97" i="5"/>
  <c r="H97" i="5"/>
  <c r="AK96" i="5"/>
  <c r="AF96" i="5"/>
  <c r="AC96" i="5"/>
  <c r="AB96" i="5"/>
  <c r="Y96" i="5"/>
  <c r="R96" i="5"/>
  <c r="P96" i="5"/>
  <c r="H96" i="5"/>
  <c r="AK95" i="5"/>
  <c r="AF95" i="5"/>
  <c r="AC95" i="5"/>
  <c r="AB95" i="5"/>
  <c r="Y95" i="5"/>
  <c r="R95" i="5"/>
  <c r="P95" i="5"/>
  <c r="H95" i="5"/>
  <c r="AK94" i="5"/>
  <c r="AF94" i="5"/>
  <c r="AC94" i="5"/>
  <c r="AB94" i="5"/>
  <c r="Y94" i="5"/>
  <c r="R94" i="5"/>
  <c r="P94" i="5"/>
  <c r="H94" i="5"/>
  <c r="AK93" i="5"/>
  <c r="AF93" i="5"/>
  <c r="AC93" i="5"/>
  <c r="AB93" i="5"/>
  <c r="Y93" i="5"/>
  <c r="R93" i="5"/>
  <c r="P93" i="5"/>
  <c r="H93" i="5"/>
  <c r="AK92" i="5"/>
  <c r="AF92" i="5"/>
  <c r="AC92" i="5"/>
  <c r="AB92" i="5"/>
  <c r="Y92" i="5"/>
  <c r="R92" i="5"/>
  <c r="P92" i="5"/>
  <c r="H92" i="5"/>
  <c r="AK91" i="5"/>
  <c r="AF91" i="5"/>
  <c r="AC91" i="5"/>
  <c r="AB91" i="5"/>
  <c r="Y91" i="5"/>
  <c r="R91" i="5"/>
  <c r="P91" i="5"/>
  <c r="H91" i="5"/>
  <c r="AK90" i="5"/>
  <c r="AF90" i="5"/>
  <c r="AC90" i="5"/>
  <c r="AB90" i="5"/>
  <c r="Y90" i="5"/>
  <c r="R90" i="5"/>
  <c r="P90" i="5"/>
  <c r="H90" i="5"/>
  <c r="AK89" i="5"/>
  <c r="AF89" i="5"/>
  <c r="AC89" i="5"/>
  <c r="AB89" i="5"/>
  <c r="Y89" i="5"/>
  <c r="R89" i="5"/>
  <c r="P89" i="5"/>
  <c r="H89" i="5"/>
  <c r="AK88" i="5"/>
  <c r="AF88" i="5"/>
  <c r="AC88" i="5"/>
  <c r="AB88" i="5"/>
  <c r="Y88" i="5"/>
  <c r="R88" i="5"/>
  <c r="P88" i="5"/>
  <c r="H88" i="5"/>
  <c r="AK87" i="5"/>
  <c r="AF87" i="5"/>
  <c r="AC87" i="5"/>
  <c r="AB87" i="5"/>
  <c r="Y87" i="5"/>
  <c r="R87" i="5"/>
  <c r="P87" i="5"/>
  <c r="H87" i="5"/>
  <c r="AK86" i="5"/>
  <c r="AF86" i="5"/>
  <c r="AC86" i="5"/>
  <c r="AB86" i="5"/>
  <c r="Y86" i="5"/>
  <c r="R86" i="5"/>
  <c r="P86" i="5"/>
  <c r="H86" i="5"/>
  <c r="AK85" i="5"/>
  <c r="AF85" i="5"/>
  <c r="AC85" i="5"/>
  <c r="AB85" i="5"/>
  <c r="Y85" i="5"/>
  <c r="R85" i="5"/>
  <c r="P85" i="5"/>
  <c r="H85" i="5"/>
  <c r="AK84" i="5"/>
  <c r="AF84" i="5"/>
  <c r="AC84" i="5"/>
  <c r="AB84" i="5"/>
  <c r="Y84" i="5"/>
  <c r="R84" i="5"/>
  <c r="P84" i="5"/>
  <c r="H84" i="5"/>
  <c r="AK83" i="5"/>
  <c r="AF83" i="5"/>
  <c r="AC83" i="5"/>
  <c r="AB83" i="5"/>
  <c r="Y83" i="5"/>
  <c r="R83" i="5"/>
  <c r="P83" i="5"/>
  <c r="H83" i="5"/>
  <c r="AK82" i="5"/>
  <c r="AF82" i="5"/>
  <c r="AC82" i="5"/>
  <c r="AB82" i="5"/>
  <c r="Y82" i="5"/>
  <c r="R82" i="5"/>
  <c r="P82" i="5"/>
  <c r="H82" i="5"/>
  <c r="AK81" i="5"/>
  <c r="AF81" i="5"/>
  <c r="AC81" i="5"/>
  <c r="AB81" i="5"/>
  <c r="Y81" i="5"/>
  <c r="R81" i="5"/>
  <c r="P81" i="5"/>
  <c r="H81" i="5"/>
  <c r="AK80" i="5"/>
  <c r="AF80" i="5"/>
  <c r="AC80" i="5"/>
  <c r="AB80" i="5"/>
  <c r="Y80" i="5"/>
  <c r="R80" i="5"/>
  <c r="P80" i="5"/>
  <c r="H80" i="5"/>
  <c r="AK79" i="5"/>
  <c r="AF79" i="5"/>
  <c r="AC79" i="5"/>
  <c r="AB79" i="5"/>
  <c r="Y79" i="5"/>
  <c r="R79" i="5"/>
  <c r="P79" i="5"/>
  <c r="H79" i="5"/>
  <c r="AK78" i="5"/>
  <c r="AF78" i="5"/>
  <c r="AC78" i="5"/>
  <c r="AB78" i="5"/>
  <c r="Y78" i="5"/>
  <c r="R78" i="5"/>
  <c r="P78" i="5"/>
  <c r="H78" i="5"/>
  <c r="AK77" i="5"/>
  <c r="AF77" i="5"/>
  <c r="AC77" i="5"/>
  <c r="AB77" i="5"/>
  <c r="Y77" i="5"/>
  <c r="R77" i="5"/>
  <c r="P77" i="5"/>
  <c r="H77" i="5"/>
  <c r="AK76" i="5"/>
  <c r="AF76" i="5"/>
  <c r="AC76" i="5"/>
  <c r="AB76" i="5"/>
  <c r="Y76" i="5"/>
  <c r="R76" i="5"/>
  <c r="P76" i="5"/>
  <c r="H76" i="5"/>
  <c r="AK75" i="5"/>
  <c r="AF75" i="5"/>
  <c r="AC75" i="5"/>
  <c r="AB75" i="5"/>
  <c r="Y75" i="5"/>
  <c r="R75" i="5"/>
  <c r="P75" i="5"/>
  <c r="H75" i="5"/>
  <c r="AK74" i="5"/>
  <c r="AF74" i="5"/>
  <c r="AC74" i="5"/>
  <c r="AB74" i="5"/>
  <c r="Y74" i="5"/>
  <c r="R74" i="5"/>
  <c r="P74" i="5"/>
  <c r="H74" i="5"/>
  <c r="AK73" i="5"/>
  <c r="AF73" i="5"/>
  <c r="AC73" i="5"/>
  <c r="AB73" i="5"/>
  <c r="Y73" i="5"/>
  <c r="R73" i="5"/>
  <c r="P73" i="5"/>
  <c r="H73" i="5"/>
  <c r="AK72" i="5"/>
  <c r="AF72" i="5"/>
  <c r="AC72" i="5"/>
  <c r="AB72" i="5"/>
  <c r="Y72" i="5"/>
  <c r="R72" i="5"/>
  <c r="P72" i="5"/>
  <c r="H72" i="5"/>
  <c r="AK71" i="5"/>
  <c r="AF71" i="5"/>
  <c r="AC71" i="5"/>
  <c r="AB71" i="5"/>
  <c r="Y71" i="5"/>
  <c r="R71" i="5"/>
  <c r="P71" i="5"/>
  <c r="H71" i="5"/>
  <c r="AK70" i="5"/>
  <c r="AF70" i="5"/>
  <c r="AC70" i="5"/>
  <c r="AB70" i="5"/>
  <c r="Y70" i="5"/>
  <c r="R70" i="5"/>
  <c r="P70" i="5"/>
  <c r="H70" i="5"/>
  <c r="AK69" i="5"/>
  <c r="AF69" i="5"/>
  <c r="AC69" i="5"/>
  <c r="AB69" i="5"/>
  <c r="Y69" i="5"/>
  <c r="R69" i="5"/>
  <c r="P69" i="5"/>
  <c r="H69" i="5"/>
  <c r="AK68" i="5"/>
  <c r="AF68" i="5"/>
  <c r="AC68" i="5"/>
  <c r="AB68" i="5"/>
  <c r="Y68" i="5"/>
  <c r="R68" i="5"/>
  <c r="P68" i="5"/>
  <c r="H68" i="5"/>
  <c r="AK67" i="5"/>
  <c r="AF67" i="5"/>
  <c r="AC67" i="5"/>
  <c r="AB67" i="5"/>
  <c r="Y67" i="5"/>
  <c r="R67" i="5"/>
  <c r="P67" i="5"/>
  <c r="H67" i="5"/>
  <c r="D67" i="5" a="1"/>
  <c r="D67" i="5" s="1"/>
  <c r="AK66" i="5"/>
  <c r="AF66" i="5"/>
  <c r="AC66" i="5"/>
  <c r="AB66" i="5"/>
  <c r="Y66" i="5"/>
  <c r="R66" i="5"/>
  <c r="P66" i="5"/>
  <c r="H66" i="5"/>
  <c r="D66" i="5" a="1"/>
  <c r="D66" i="5" s="1"/>
  <c r="D68" i="5" s="1"/>
  <c r="AK65" i="5"/>
  <c r="AF65" i="5"/>
  <c r="AC65" i="5"/>
  <c r="AB65" i="5"/>
  <c r="Y65" i="5"/>
  <c r="R65" i="5"/>
  <c r="P65" i="5"/>
  <c r="H65" i="5"/>
  <c r="AK64" i="5"/>
  <c r="AF64" i="5"/>
  <c r="AC64" i="5"/>
  <c r="AB64" i="5"/>
  <c r="Y64" i="5"/>
  <c r="R64" i="5"/>
  <c r="P64" i="5"/>
  <c r="H64" i="5"/>
  <c r="D64" i="5" a="1"/>
  <c r="D64" i="5" s="1"/>
  <c r="AK63" i="5"/>
  <c r="AF63" i="5"/>
  <c r="AC63" i="5"/>
  <c r="AB63" i="5"/>
  <c r="Y63" i="5"/>
  <c r="R63" i="5"/>
  <c r="P63" i="5"/>
  <c r="H63" i="5"/>
  <c r="D63" i="5" a="1"/>
  <c r="D63" i="5" s="1"/>
  <c r="D65" i="5" s="1"/>
  <c r="AK62" i="5"/>
  <c r="AF62" i="5"/>
  <c r="AC62" i="5"/>
  <c r="AB62" i="5"/>
  <c r="Y62" i="5"/>
  <c r="R62" i="5"/>
  <c r="P62" i="5"/>
  <c r="H62" i="5"/>
  <c r="AK61" i="5"/>
  <c r="AF61" i="5"/>
  <c r="AC61" i="5"/>
  <c r="AB61" i="5"/>
  <c r="Y61" i="5"/>
  <c r="R61" i="5"/>
  <c r="P61" i="5"/>
  <c r="H61" i="5"/>
  <c r="AK60" i="5"/>
  <c r="AF60" i="5"/>
  <c r="AC60" i="5"/>
  <c r="AB60" i="5"/>
  <c r="Y60" i="5"/>
  <c r="R60" i="5"/>
  <c r="P60" i="5"/>
  <c r="H60" i="5"/>
  <c r="AK59" i="5"/>
  <c r="AF59" i="5"/>
  <c r="AC59" i="5"/>
  <c r="AB59" i="5"/>
  <c r="Y59" i="5"/>
  <c r="R59" i="5"/>
  <c r="P59" i="5"/>
  <c r="H59" i="5"/>
  <c r="AK58" i="5"/>
  <c r="AF58" i="5"/>
  <c r="AC58" i="5"/>
  <c r="AB58" i="5"/>
  <c r="Y58" i="5"/>
  <c r="R58" i="5"/>
  <c r="P58" i="5"/>
  <c r="H58" i="5"/>
  <c r="AK57" i="5"/>
  <c r="AF57" i="5"/>
  <c r="AC57" i="5"/>
  <c r="AB57" i="5"/>
  <c r="Y57" i="5"/>
  <c r="R57" i="5"/>
  <c r="P57" i="5"/>
  <c r="H57" i="5"/>
  <c r="AL56" i="5"/>
  <c r="AK56" i="5"/>
  <c r="AF56" i="5"/>
  <c r="AC56" i="5"/>
  <c r="AB56" i="5"/>
  <c r="Y56" i="5"/>
  <c r="R56" i="5"/>
  <c r="P56" i="5"/>
  <c r="H56" i="5"/>
  <c r="AL55" i="5"/>
  <c r="AK55" i="5"/>
  <c r="AF55" i="5"/>
  <c r="AC55" i="5"/>
  <c r="AB55" i="5"/>
  <c r="Y55" i="5"/>
  <c r="R55" i="5"/>
  <c r="P55" i="5"/>
  <c r="H55" i="5"/>
  <c r="AP54" i="5"/>
  <c r="AQ54" i="5" s="1"/>
  <c r="AL54" i="5"/>
  <c r="AK54" i="5"/>
  <c r="AF54" i="5"/>
  <c r="AC54" i="5"/>
  <c r="AB54" i="5"/>
  <c r="Y54" i="5"/>
  <c r="R54" i="5"/>
  <c r="P54" i="5"/>
  <c r="H54" i="5"/>
  <c r="AL53" i="5"/>
  <c r="AK53" i="5"/>
  <c r="AF53" i="5"/>
  <c r="AC53" i="5"/>
  <c r="AB53" i="5"/>
  <c r="Y53" i="5"/>
  <c r="R53" i="5"/>
  <c r="P53" i="5"/>
  <c r="H53" i="5"/>
  <c r="AK52" i="5"/>
  <c r="AF52" i="5"/>
  <c r="AC52" i="5"/>
  <c r="AB52" i="5"/>
  <c r="Y52" i="5"/>
  <c r="R52" i="5"/>
  <c r="P52" i="5"/>
  <c r="H52" i="5"/>
  <c r="AL51" i="5"/>
  <c r="AK51" i="5"/>
  <c r="AF51" i="5"/>
  <c r="AC51" i="5"/>
  <c r="AB51" i="5"/>
  <c r="Y51" i="5"/>
  <c r="R51" i="5"/>
  <c r="P51" i="5"/>
  <c r="H51" i="5"/>
  <c r="AK50" i="5"/>
  <c r="AF50" i="5"/>
  <c r="AC50" i="5"/>
  <c r="AB50" i="5"/>
  <c r="Y50" i="5"/>
  <c r="R50" i="5"/>
  <c r="P50" i="5"/>
  <c r="H50" i="5"/>
  <c r="AL49" i="5"/>
  <c r="AK49" i="5"/>
  <c r="AF49" i="5"/>
  <c r="AC49" i="5"/>
  <c r="AB49" i="5"/>
  <c r="Y49" i="5"/>
  <c r="R49" i="5"/>
  <c r="P49" i="5"/>
  <c r="H49" i="5"/>
  <c r="AK48" i="5"/>
  <c r="AF48" i="5"/>
  <c r="AC48" i="5"/>
  <c r="AB48" i="5"/>
  <c r="Y48" i="5"/>
  <c r="R48" i="5"/>
  <c r="P48" i="5"/>
  <c r="H48" i="5"/>
  <c r="AK47" i="5"/>
  <c r="AF47" i="5"/>
  <c r="AC47" i="5"/>
  <c r="AB47" i="5"/>
  <c r="Y47" i="5"/>
  <c r="R47" i="5"/>
  <c r="P47" i="5"/>
  <c r="H47" i="5"/>
  <c r="AP46" i="5"/>
  <c r="AQ46" i="5" s="1"/>
  <c r="AK46" i="5"/>
  <c r="AF46" i="5"/>
  <c r="AC46" i="5"/>
  <c r="AB46" i="5"/>
  <c r="Y46" i="5"/>
  <c r="R46" i="5"/>
  <c r="P46" i="5"/>
  <c r="H46" i="5"/>
  <c r="AK45" i="5"/>
  <c r="AF45" i="5"/>
  <c r="AC45" i="5"/>
  <c r="AB45" i="5"/>
  <c r="Y45" i="5"/>
  <c r="R45" i="5"/>
  <c r="P45" i="5"/>
  <c r="H45" i="5"/>
  <c r="AP44" i="5"/>
  <c r="AQ44" i="5" s="1"/>
  <c r="AK44" i="5"/>
  <c r="AF44" i="5"/>
  <c r="AC44" i="5"/>
  <c r="AB44" i="5"/>
  <c r="Y44" i="5"/>
  <c r="R44" i="5"/>
  <c r="P44" i="5"/>
  <c r="H44" i="5"/>
  <c r="AL43" i="5"/>
  <c r="AK43" i="5"/>
  <c r="AF43" i="5"/>
  <c r="AC43" i="5"/>
  <c r="AB43" i="5"/>
  <c r="Y43" i="5"/>
  <c r="R43" i="5"/>
  <c r="P43" i="5"/>
  <c r="H43" i="5"/>
  <c r="AP42" i="5"/>
  <c r="AQ42" i="5" s="1"/>
  <c r="AL42" i="5"/>
  <c r="AK42" i="5"/>
  <c r="AF42" i="5"/>
  <c r="AC42" i="5"/>
  <c r="AB42" i="5"/>
  <c r="Y42" i="5"/>
  <c r="R42" i="5"/>
  <c r="P42" i="5"/>
  <c r="H42" i="5"/>
  <c r="AK41" i="5"/>
  <c r="AF41" i="5"/>
  <c r="AC41" i="5"/>
  <c r="AB41" i="5"/>
  <c r="Y41" i="5"/>
  <c r="R41" i="5"/>
  <c r="P41" i="5"/>
  <c r="H41" i="5"/>
  <c r="AL40" i="5"/>
  <c r="AK40" i="5"/>
  <c r="AF40" i="5"/>
  <c r="AC40" i="5"/>
  <c r="AB40" i="5"/>
  <c r="Y40" i="5"/>
  <c r="R40" i="5"/>
  <c r="P40" i="5"/>
  <c r="H40" i="5"/>
  <c r="AK39" i="5"/>
  <c r="AF39" i="5"/>
  <c r="AC39" i="5"/>
  <c r="AB39" i="5"/>
  <c r="Y39" i="5"/>
  <c r="R39" i="5"/>
  <c r="P39" i="5"/>
  <c r="H39" i="5"/>
  <c r="AK38" i="5"/>
  <c r="AF38" i="5"/>
  <c r="AC38" i="5"/>
  <c r="AB38" i="5"/>
  <c r="Y38" i="5"/>
  <c r="R38" i="5"/>
  <c r="P38" i="5"/>
  <c r="H38" i="5"/>
  <c r="AL37" i="5"/>
  <c r="AK37" i="5"/>
  <c r="AF37" i="5"/>
  <c r="AC37" i="5"/>
  <c r="AB37" i="5"/>
  <c r="Y37" i="5"/>
  <c r="R37" i="5"/>
  <c r="P37" i="5"/>
  <c r="H37" i="5"/>
  <c r="D37" i="5" a="1"/>
  <c r="D37" i="5" s="1"/>
  <c r="AK36" i="5"/>
  <c r="AF36" i="5"/>
  <c r="AC36" i="5"/>
  <c r="AB36" i="5"/>
  <c r="Y36" i="5"/>
  <c r="R36" i="5"/>
  <c r="P36" i="5"/>
  <c r="H36" i="5"/>
  <c r="D36" i="5" a="1"/>
  <c r="D36" i="5" s="1"/>
  <c r="D38" i="5" s="1"/>
  <c r="AQ35" i="5"/>
  <c r="AP35" i="5"/>
  <c r="AK35" i="5"/>
  <c r="AF35" i="5"/>
  <c r="AC35" i="5"/>
  <c r="AB35" i="5"/>
  <c r="Y35" i="5"/>
  <c r="R35" i="5"/>
  <c r="P35" i="5"/>
  <c r="H35" i="5"/>
  <c r="AK34" i="5"/>
  <c r="AF34" i="5"/>
  <c r="AC34" i="5"/>
  <c r="AB34" i="5"/>
  <c r="Y34" i="5"/>
  <c r="R34" i="5"/>
  <c r="P34" i="5"/>
  <c r="H34" i="5"/>
  <c r="D34" i="5" a="1"/>
  <c r="D34" i="5" s="1"/>
  <c r="AP33" i="5"/>
  <c r="AQ33" i="5" s="1"/>
  <c r="AL33" i="5"/>
  <c r="AK33" i="5"/>
  <c r="AF33" i="5"/>
  <c r="AC33" i="5"/>
  <c r="AB33" i="5"/>
  <c r="Y33" i="5"/>
  <c r="R33" i="5"/>
  <c r="P33" i="5"/>
  <c r="H33" i="5"/>
  <c r="D33" i="5" a="1"/>
  <c r="D33" i="5" s="1"/>
  <c r="D35" i="5" s="1"/>
  <c r="AK32" i="5"/>
  <c r="AF32" i="5"/>
  <c r="AC32" i="5"/>
  <c r="AB32" i="5"/>
  <c r="Y32" i="5"/>
  <c r="R32" i="5"/>
  <c r="P32" i="5"/>
  <c r="H32" i="5"/>
  <c r="AK31" i="5"/>
  <c r="AF31" i="5"/>
  <c r="AC31" i="5"/>
  <c r="AB31" i="5"/>
  <c r="Y31" i="5"/>
  <c r="R31" i="5"/>
  <c r="P31" i="5"/>
  <c r="H31" i="5"/>
  <c r="AK30" i="5"/>
  <c r="AF30" i="5"/>
  <c r="AC30" i="5"/>
  <c r="AB30" i="5"/>
  <c r="Y30" i="5"/>
  <c r="R30" i="5"/>
  <c r="P30" i="5"/>
  <c r="H30" i="5"/>
  <c r="AK29" i="5"/>
  <c r="AF29" i="5"/>
  <c r="AC29" i="5"/>
  <c r="AB29" i="5"/>
  <c r="Y29" i="5"/>
  <c r="R29" i="5"/>
  <c r="P29" i="5"/>
  <c r="H29" i="5"/>
  <c r="AK28" i="5"/>
  <c r="AF28" i="5"/>
  <c r="AC28" i="5"/>
  <c r="AB28" i="5"/>
  <c r="Y28" i="5"/>
  <c r="R28" i="5"/>
  <c r="P28" i="5"/>
  <c r="H28" i="5"/>
  <c r="AK27" i="5"/>
  <c r="AF27" i="5"/>
  <c r="AC27" i="5"/>
  <c r="AB27" i="5"/>
  <c r="Y27" i="5"/>
  <c r="R27" i="5"/>
  <c r="P27" i="5"/>
  <c r="H27" i="5"/>
  <c r="AK26" i="5"/>
  <c r="AF26" i="5"/>
  <c r="AC26" i="5"/>
  <c r="AB26" i="5"/>
  <c r="Y26" i="5"/>
  <c r="R26" i="5"/>
  <c r="P26" i="5"/>
  <c r="H26" i="5"/>
  <c r="AK25" i="5"/>
  <c r="AF25" i="5"/>
  <c r="AC25" i="5"/>
  <c r="AB25" i="5"/>
  <c r="Y25" i="5"/>
  <c r="R25" i="5"/>
  <c r="P25" i="5"/>
  <c r="H25" i="5"/>
  <c r="AK24" i="5"/>
  <c r="AF24" i="5"/>
  <c r="AC24" i="5"/>
  <c r="AB24" i="5"/>
  <c r="Y24" i="5"/>
  <c r="R24" i="5"/>
  <c r="P24" i="5"/>
  <c r="H24" i="5"/>
  <c r="AK23" i="5"/>
  <c r="AF23" i="5"/>
  <c r="AC23" i="5"/>
  <c r="AB23" i="5"/>
  <c r="Y23" i="5"/>
  <c r="R23" i="5"/>
  <c r="P23" i="5"/>
  <c r="H23" i="5"/>
  <c r="C23" i="5" a="1"/>
  <c r="C23" i="5"/>
  <c r="AK22" i="5"/>
  <c r="AF22" i="5"/>
  <c r="AC22" i="5"/>
  <c r="AB22" i="5"/>
  <c r="Y22" i="5"/>
  <c r="R22" i="5"/>
  <c r="P22" i="5"/>
  <c r="H22" i="5"/>
  <c r="AL21" i="5"/>
  <c r="AK21" i="5"/>
  <c r="AF21" i="5"/>
  <c r="AC21" i="5"/>
  <c r="AB21" i="5"/>
  <c r="Y21" i="5"/>
  <c r="R21" i="5"/>
  <c r="P21" i="5"/>
  <c r="H21" i="5"/>
  <c r="AK20" i="5"/>
  <c r="AL20" i="5" s="1"/>
  <c r="AF20" i="5"/>
  <c r="AC20" i="5"/>
  <c r="AB20" i="5"/>
  <c r="Y20" i="5"/>
  <c r="R20" i="5"/>
  <c r="P20" i="5"/>
  <c r="H20" i="5"/>
  <c r="AL19" i="5"/>
  <c r="AK19" i="5"/>
  <c r="AF19" i="5"/>
  <c r="AC19" i="5"/>
  <c r="AB19" i="5"/>
  <c r="Y19" i="5"/>
  <c r="R19" i="5"/>
  <c r="P19" i="5"/>
  <c r="H19" i="5"/>
  <c r="AK18" i="5"/>
  <c r="AL18" i="5" s="1"/>
  <c r="AI18" i="5"/>
  <c r="AH18" i="5"/>
  <c r="AF18" i="5"/>
  <c r="AC18" i="5"/>
  <c r="AB18" i="5"/>
  <c r="Y18" i="5"/>
  <c r="P18" i="5"/>
  <c r="H18" i="5"/>
  <c r="AK17" i="5"/>
  <c r="AH17" i="5"/>
  <c r="AF17" i="5"/>
  <c r="AC17" i="5"/>
  <c r="AB17" i="5"/>
  <c r="Y17" i="5"/>
  <c r="P17" i="5"/>
  <c r="H17" i="5"/>
  <c r="AQ16" i="5"/>
  <c r="AP16" i="5"/>
  <c r="AL16" i="5"/>
  <c r="AK16" i="5"/>
  <c r="AH16" i="5"/>
  <c r="AF16" i="5"/>
  <c r="AC16" i="5"/>
  <c r="AB16" i="5"/>
  <c r="Y16" i="5"/>
  <c r="P16" i="5"/>
  <c r="H16" i="5"/>
  <c r="AK15" i="5"/>
  <c r="AH15" i="5"/>
  <c r="AP39" i="5" s="1"/>
  <c r="AQ39" i="5" s="1"/>
  <c r="AF15" i="5"/>
  <c r="AC15" i="5"/>
  <c r="AB15" i="5"/>
  <c r="Y15" i="5"/>
  <c r="P15" i="5"/>
  <c r="H15" i="5"/>
  <c r="AK14" i="5"/>
  <c r="AF14" i="5"/>
  <c r="AC14" i="5"/>
  <c r="AB14" i="5"/>
  <c r="Y14" i="5"/>
  <c r="P14" i="5"/>
  <c r="H14" i="5"/>
  <c r="AK13" i="5"/>
  <c r="AF13" i="5"/>
  <c r="AC13" i="5"/>
  <c r="AB13" i="5"/>
  <c r="Y13" i="5"/>
  <c r="P13" i="5"/>
  <c r="H13" i="5"/>
  <c r="AK12" i="5"/>
  <c r="AF12" i="5"/>
  <c r="AC12" i="5"/>
  <c r="AB12" i="5"/>
  <c r="Y12" i="5"/>
  <c r="P12" i="5"/>
  <c r="H12" i="5"/>
  <c r="AK11" i="5"/>
  <c r="AF11" i="5"/>
  <c r="AC11" i="5"/>
  <c r="AB11" i="5"/>
  <c r="Y11" i="5"/>
  <c r="P11" i="5"/>
  <c r="H11" i="5"/>
  <c r="B11" i="5" a="1"/>
  <c r="B11" i="5" s="1"/>
  <c r="AL10" i="5"/>
  <c r="AK10" i="5"/>
  <c r="AF10" i="5"/>
  <c r="AC10" i="5"/>
  <c r="AB10" i="5"/>
  <c r="Y10" i="5"/>
  <c r="P10" i="5"/>
  <c r="H10" i="5"/>
  <c r="AK9" i="5"/>
  <c r="AL9" i="5" s="1"/>
  <c r="AF9" i="5"/>
  <c r="AC9" i="5"/>
  <c r="AB9" i="5"/>
  <c r="Y9" i="5"/>
  <c r="P9" i="5"/>
  <c r="H9" i="5"/>
  <c r="AL8" i="5"/>
  <c r="AK8" i="5"/>
  <c r="AF8" i="5"/>
  <c r="AC8" i="5"/>
  <c r="AB8" i="5"/>
  <c r="Y8" i="5"/>
  <c r="P8" i="5"/>
  <c r="H8" i="5"/>
  <c r="AK7" i="5"/>
  <c r="AL7" i="5" s="1"/>
  <c r="AF7" i="5"/>
  <c r="AC7" i="5"/>
  <c r="AB7" i="5"/>
  <c r="Y7" i="5"/>
  <c r="P7" i="5"/>
  <c r="H7" i="5"/>
  <c r="AP6" i="5"/>
  <c r="AQ6" i="5" s="1"/>
  <c r="AK6" i="5"/>
  <c r="AF6" i="5"/>
  <c r="AC6" i="5"/>
  <c r="AB6" i="5"/>
  <c r="Y6" i="5"/>
  <c r="P6" i="5"/>
  <c r="H6" i="5"/>
  <c r="D6" i="5" a="1"/>
  <c r="D6" i="5" s="1"/>
  <c r="AQ5" i="5"/>
  <c r="AP5" i="5"/>
  <c r="AL5" i="5"/>
  <c r="AK5" i="5"/>
  <c r="AF5" i="5"/>
  <c r="AC5" i="5"/>
  <c r="AB5" i="5"/>
  <c r="Y5" i="5"/>
  <c r="P5" i="5"/>
  <c r="H5" i="5"/>
  <c r="D5" i="5" a="1"/>
  <c r="D5" i="5" s="1"/>
  <c r="AK4" i="5"/>
  <c r="AF4" i="5"/>
  <c r="AC4" i="5"/>
  <c r="AB4" i="5"/>
  <c r="Y4" i="5"/>
  <c r="P4" i="5"/>
  <c r="H4" i="5"/>
  <c r="AL3" i="5"/>
  <c r="AK3" i="5"/>
  <c r="AF3" i="5"/>
  <c r="AC3" i="5"/>
  <c r="AB3" i="5"/>
  <c r="Y3" i="5"/>
  <c r="P3" i="5"/>
  <c r="H3" i="5"/>
  <c r="D3" i="5" a="1"/>
  <c r="D3" i="5" s="1"/>
  <c r="AK2" i="5"/>
  <c r="AH11" i="5" s="1"/>
  <c r="AF2" i="5"/>
  <c r="AB2" i="5"/>
  <c r="P2" i="5"/>
  <c r="H2" i="5"/>
  <c r="D2" i="5" a="1"/>
  <c r="D2" i="5" s="1"/>
  <c r="G31" i="4"/>
  <c r="G30" i="4"/>
  <c r="G24" i="4" a="1"/>
  <c r="G24" i="4" s="1"/>
  <c r="I1" i="4"/>
  <c r="E1" i="3"/>
  <c r="J18" i="2"/>
  <c r="I18" i="2"/>
  <c r="H18" i="2"/>
  <c r="J17" i="2"/>
  <c r="H17" i="2"/>
  <c r="J16" i="2"/>
  <c r="I16" i="2"/>
  <c r="J15" i="2"/>
  <c r="I15" i="2"/>
  <c r="L14" i="2"/>
  <c r="J11" i="2"/>
  <c r="I11" i="2"/>
  <c r="H11" i="2"/>
  <c r="J10" i="2"/>
  <c r="H10" i="2"/>
  <c r="J9" i="2"/>
  <c r="I9" i="2"/>
  <c r="H9" i="2"/>
  <c r="H16" i="2" s="1"/>
  <c r="J8" i="2"/>
  <c r="I8" i="2"/>
  <c r="H8" i="2"/>
  <c r="H15" i="2" s="1"/>
  <c r="L7" i="2"/>
  <c r="J4" i="2" a="1"/>
  <c r="J4" i="2" s="1"/>
  <c r="E3" i="2"/>
  <c r="D3" i="2"/>
  <c r="I1" i="2"/>
  <c r="T2" i="5" a="1"/>
  <c r="AN2" i="5" a="1"/>
  <c r="AO2" i="5" a="1"/>
  <c r="D4" i="5" l="1"/>
  <c r="D7" i="5"/>
  <c r="AO2" i="5"/>
  <c r="AN2" i="5"/>
  <c r="AI22" i="5" s="1"/>
  <c r="T2" i="5"/>
  <c r="Y2" i="5" s="1"/>
  <c r="D40" i="5" a="1"/>
  <c r="D40" i="5" s="1"/>
  <c r="D43" i="5" a="1"/>
  <c r="D43" i="5" s="1"/>
  <c r="AP2" i="5"/>
  <c r="AP7" i="5"/>
  <c r="AQ7" i="5" s="1"/>
  <c r="AP9" i="5"/>
  <c r="AQ9" i="5" s="1"/>
  <c r="AP18" i="5"/>
  <c r="AQ18" i="5" s="1"/>
  <c r="AP20" i="5"/>
  <c r="AQ20" i="5" s="1"/>
  <c r="AL22" i="5"/>
  <c r="AL38" i="5"/>
  <c r="AP55" i="5"/>
  <c r="AQ55" i="5" s="1"/>
  <c r="AP56" i="5"/>
  <c r="AQ56" i="5" s="1"/>
  <c r="AL57" i="5"/>
  <c r="AL58" i="5"/>
  <c r="AP38" i="5"/>
  <c r="AQ38" i="5" s="1"/>
  <c r="AP57" i="5"/>
  <c r="AQ57" i="5" s="1"/>
  <c r="AP58" i="5"/>
  <c r="AQ58" i="5" s="1"/>
  <c r="AL59" i="5"/>
  <c r="AL4" i="5"/>
  <c r="AL11" i="5"/>
  <c r="AL13" i="5"/>
  <c r="AL24" i="5"/>
  <c r="AL26" i="5"/>
  <c r="AL28" i="5"/>
  <c r="AL30" i="5"/>
  <c r="AL32" i="5"/>
  <c r="AL36" i="5"/>
  <c r="AP59" i="5"/>
  <c r="AQ59" i="5" s="1"/>
  <c r="AP22" i="5"/>
  <c r="AQ22" i="5" s="1"/>
  <c r="AP4" i="5"/>
  <c r="AQ4" i="5" s="1"/>
  <c r="AP11" i="5"/>
  <c r="AQ11" i="5" s="1"/>
  <c r="AP13" i="5"/>
  <c r="AQ13" i="5" s="1"/>
  <c r="AL15" i="5"/>
  <c r="AP24" i="5"/>
  <c r="AQ24" i="5" s="1"/>
  <c r="AP26" i="5"/>
  <c r="AQ26" i="5" s="1"/>
  <c r="AP28" i="5"/>
  <c r="AQ28" i="5" s="1"/>
  <c r="AP30" i="5"/>
  <c r="AQ30" i="5" s="1"/>
  <c r="AP32" i="5"/>
  <c r="AQ32" i="5" s="1"/>
  <c r="AP36" i="5"/>
  <c r="AQ36" i="5" s="1"/>
  <c r="AL60" i="5"/>
  <c r="AL61" i="5"/>
  <c r="AP15" i="5"/>
  <c r="AQ15" i="5" s="1"/>
  <c r="AP61" i="5"/>
  <c r="AQ61" i="5" s="1"/>
  <c r="AL62" i="5"/>
  <c r="AL17" i="5"/>
  <c r="AP53" i="5"/>
  <c r="AQ53" i="5" s="1"/>
  <c r="AP51" i="5"/>
  <c r="AQ51" i="5" s="1"/>
  <c r="AP49" i="5"/>
  <c r="AQ49" i="5" s="1"/>
  <c r="AP40" i="5"/>
  <c r="AQ40" i="5" s="1"/>
  <c r="AP64" i="5"/>
  <c r="AQ64" i="5" s="1"/>
  <c r="AL64" i="5"/>
  <c r="AP47" i="5"/>
  <c r="AQ47" i="5" s="1"/>
  <c r="AP45" i="5"/>
  <c r="AQ45" i="5" s="1"/>
  <c r="AL35" i="5"/>
  <c r="AP101" i="5"/>
  <c r="AQ101" i="5" s="1"/>
  <c r="AP99" i="5"/>
  <c r="AQ99" i="5" s="1"/>
  <c r="AP97" i="5"/>
  <c r="AQ97" i="5" s="1"/>
  <c r="AP95" i="5"/>
  <c r="AQ95" i="5" s="1"/>
  <c r="AP93" i="5"/>
  <c r="AQ93" i="5" s="1"/>
  <c r="AP91" i="5"/>
  <c r="AQ91" i="5" s="1"/>
  <c r="AP89" i="5"/>
  <c r="AQ89" i="5" s="1"/>
  <c r="AP87" i="5"/>
  <c r="AQ87" i="5" s="1"/>
  <c r="AP85" i="5"/>
  <c r="AQ85" i="5" s="1"/>
  <c r="AP83" i="5"/>
  <c r="AQ83" i="5" s="1"/>
  <c r="AP81" i="5"/>
  <c r="AQ81" i="5" s="1"/>
  <c r="AP79" i="5"/>
  <c r="AQ79" i="5" s="1"/>
  <c r="AP77" i="5"/>
  <c r="AQ77" i="5" s="1"/>
  <c r="AP75" i="5"/>
  <c r="AQ75" i="5" s="1"/>
  <c r="AP73" i="5"/>
  <c r="AQ73" i="5" s="1"/>
  <c r="AP71" i="5"/>
  <c r="AQ71" i="5" s="1"/>
  <c r="AP69" i="5"/>
  <c r="AQ69" i="5" s="1"/>
  <c r="AL47" i="5"/>
  <c r="AL45" i="5"/>
  <c r="AP43" i="5"/>
  <c r="AQ43" i="5" s="1"/>
  <c r="AL101" i="5"/>
  <c r="AL99" i="5"/>
  <c r="AL97" i="5"/>
  <c r="AL95" i="5"/>
  <c r="AL93" i="5"/>
  <c r="AL91" i="5"/>
  <c r="AL89" i="5"/>
  <c r="AL87" i="5"/>
  <c r="AL85" i="5"/>
  <c r="AL83" i="5"/>
  <c r="AL81" i="5"/>
  <c r="AL79" i="5"/>
  <c r="AL77" i="5"/>
  <c r="AL75" i="5"/>
  <c r="AL73" i="5"/>
  <c r="AL71" i="5"/>
  <c r="AL69" i="5"/>
  <c r="AP67" i="5"/>
  <c r="AQ67" i="5" s="1"/>
  <c r="AL67" i="5"/>
  <c r="AP62" i="5"/>
  <c r="AQ62" i="5" s="1"/>
  <c r="AP60" i="5"/>
  <c r="AQ60" i="5" s="1"/>
  <c r="AP65" i="5"/>
  <c r="AQ65" i="5" s="1"/>
  <c r="AP52" i="5"/>
  <c r="AQ52" i="5" s="1"/>
  <c r="AP50" i="5"/>
  <c r="AQ50" i="5" s="1"/>
  <c r="AP48" i="5"/>
  <c r="AQ48" i="5" s="1"/>
  <c r="AL41" i="5"/>
  <c r="AL65" i="5"/>
  <c r="AL52" i="5"/>
  <c r="AL50" i="5"/>
  <c r="AL48" i="5"/>
  <c r="AP102" i="5"/>
  <c r="AQ102" i="5" s="1"/>
  <c r="AP100" i="5"/>
  <c r="AQ100" i="5" s="1"/>
  <c r="AP98" i="5"/>
  <c r="AQ98" i="5" s="1"/>
  <c r="AP96" i="5"/>
  <c r="AQ96" i="5" s="1"/>
  <c r="AP94" i="5"/>
  <c r="AQ94" i="5" s="1"/>
  <c r="AP92" i="5"/>
  <c r="AQ92" i="5" s="1"/>
  <c r="AP90" i="5"/>
  <c r="AQ90" i="5" s="1"/>
  <c r="AP88" i="5"/>
  <c r="AQ88" i="5" s="1"/>
  <c r="AP86" i="5"/>
  <c r="AQ86" i="5" s="1"/>
  <c r="AP84" i="5"/>
  <c r="AQ84" i="5" s="1"/>
  <c r="AP82" i="5"/>
  <c r="AQ82" i="5" s="1"/>
  <c r="AP80" i="5"/>
  <c r="AQ80" i="5" s="1"/>
  <c r="AP78" i="5"/>
  <c r="AQ78" i="5" s="1"/>
  <c r="AP76" i="5"/>
  <c r="AQ76" i="5" s="1"/>
  <c r="AP74" i="5"/>
  <c r="AQ74" i="5" s="1"/>
  <c r="AP72" i="5"/>
  <c r="AQ72" i="5" s="1"/>
  <c r="AP70" i="5"/>
  <c r="AQ70" i="5" s="1"/>
  <c r="AP68" i="5"/>
  <c r="AQ68" i="5" s="1"/>
  <c r="AP63" i="5"/>
  <c r="AQ63" i="5" s="1"/>
  <c r="AL46" i="5"/>
  <c r="AL44" i="5"/>
  <c r="AL39" i="5"/>
  <c r="AL102" i="5"/>
  <c r="AL100" i="5"/>
  <c r="AL98" i="5"/>
  <c r="AL96" i="5"/>
  <c r="AL94" i="5"/>
  <c r="AL92" i="5"/>
  <c r="AL90" i="5"/>
  <c r="AL88" i="5"/>
  <c r="AL86" i="5"/>
  <c r="AL84" i="5"/>
  <c r="AL82" i="5"/>
  <c r="AL80" i="5"/>
  <c r="AL78" i="5"/>
  <c r="AL76" i="5"/>
  <c r="AL74" i="5"/>
  <c r="AL72" i="5"/>
  <c r="AL70" i="5"/>
  <c r="AL68" i="5"/>
  <c r="AL63" i="5"/>
  <c r="D39" i="5" a="1"/>
  <c r="D39" i="5" s="1"/>
  <c r="D41" i="5" s="1"/>
  <c r="D42" i="5" a="1"/>
  <c r="D42" i="5" s="1"/>
  <c r="D44" i="5" s="1"/>
  <c r="AL6" i="5"/>
  <c r="AP17" i="5"/>
  <c r="AQ17" i="5" s="1"/>
  <c r="AL34" i="5"/>
  <c r="AP34" i="5"/>
  <c r="AQ34" i="5" s="1"/>
  <c r="AP8" i="5"/>
  <c r="AQ8" i="5" s="1"/>
  <c r="AP10" i="5"/>
  <c r="AQ10" i="5" s="1"/>
  <c r="AP19" i="5"/>
  <c r="AQ19" i="5" s="1"/>
  <c r="AP21" i="5"/>
  <c r="AQ21" i="5" s="1"/>
  <c r="AP3" i="5"/>
  <c r="AQ3" i="5" s="1"/>
  <c r="AL12" i="5"/>
  <c r="AL14" i="5"/>
  <c r="AL23" i="5"/>
  <c r="AL25" i="5"/>
  <c r="AL27" i="5"/>
  <c r="AL29" i="5"/>
  <c r="AL31" i="5"/>
  <c r="AP37" i="5"/>
  <c r="AQ37" i="5" s="1"/>
  <c r="AL66" i="5"/>
  <c r="AL2" i="5"/>
  <c r="AP12" i="5"/>
  <c r="AQ12" i="5" s="1"/>
  <c r="AP14" i="5"/>
  <c r="AQ14" i="5" s="1"/>
  <c r="AP23" i="5"/>
  <c r="AQ23" i="5" s="1"/>
  <c r="AP25" i="5"/>
  <c r="AQ25" i="5" s="1"/>
  <c r="AP27" i="5"/>
  <c r="AQ27" i="5" s="1"/>
  <c r="AP29" i="5"/>
  <c r="AQ29" i="5" s="1"/>
  <c r="AP31" i="5"/>
  <c r="AQ31" i="5" s="1"/>
  <c r="AP41" i="5"/>
  <c r="AQ41" i="5" s="1"/>
  <c r="AP66" i="5"/>
  <c r="AQ66" i="5" s="1"/>
  <c r="G38" i="5"/>
  <c r="G86" i="5"/>
  <c r="G57" i="5"/>
  <c r="G83" i="5"/>
  <c r="G35" i="5"/>
  <c r="G3" i="5"/>
  <c r="G17" i="5"/>
  <c r="J45" i="5"/>
  <c r="J71" i="5"/>
  <c r="U2" i="5" a="1"/>
  <c r="J64" i="5"/>
  <c r="J70" i="5"/>
  <c r="J92" i="5"/>
  <c r="G74" i="5"/>
  <c r="J56" i="5"/>
  <c r="G30" i="5"/>
  <c r="G72" i="5"/>
  <c r="G65" i="5"/>
  <c r="J89" i="5"/>
  <c r="J63" i="5"/>
  <c r="G90" i="5"/>
  <c r="G44" i="5"/>
  <c r="G84" i="5"/>
  <c r="G55" i="5"/>
  <c r="G81" i="5"/>
  <c r="G22" i="5"/>
  <c r="G60" i="5"/>
  <c r="G47" i="5"/>
  <c r="J101" i="5"/>
  <c r="J69" i="5"/>
  <c r="J72" i="5"/>
  <c r="J94" i="5"/>
  <c r="J55" i="5"/>
  <c r="B48" i="5" a="1"/>
  <c r="G71" i="5"/>
  <c r="J91" i="5"/>
  <c r="J10" i="5"/>
  <c r="J38" i="5"/>
  <c r="J22" i="5"/>
  <c r="J7" i="5"/>
  <c r="J20" i="5"/>
  <c r="J2" i="5"/>
  <c r="J3" i="5"/>
  <c r="J11" i="5"/>
  <c r="J16" i="5"/>
  <c r="J82" i="5"/>
  <c r="J41" i="5"/>
  <c r="J9" i="5"/>
  <c r="G82" i="5"/>
  <c r="G53" i="5"/>
  <c r="G79" i="5"/>
  <c r="G20" i="5"/>
  <c r="G39" i="5"/>
  <c r="G4" i="5"/>
  <c r="J99" i="5"/>
  <c r="J67" i="5"/>
  <c r="J37" i="5"/>
  <c r="J39" i="5"/>
  <c r="J46" i="5"/>
  <c r="J96" i="5"/>
  <c r="G64" i="5"/>
  <c r="G5" i="5"/>
  <c r="J90" i="5"/>
  <c r="J43" i="5"/>
  <c r="G101" i="5"/>
  <c r="G16" i="5"/>
  <c r="J54" i="5"/>
  <c r="J8" i="5"/>
  <c r="J75" i="5"/>
  <c r="G88" i="5"/>
  <c r="G2" i="5"/>
  <c r="G80" i="5"/>
  <c r="G51" i="5"/>
  <c r="G77" i="5"/>
  <c r="G9" i="5"/>
  <c r="G21" i="5"/>
  <c r="G18" i="5"/>
  <c r="J97" i="5"/>
  <c r="J62" i="5"/>
  <c r="J86" i="5"/>
  <c r="J80" i="5"/>
  <c r="J44" i="5"/>
  <c r="J78" i="5"/>
  <c r="G28" i="5"/>
  <c r="G69" i="5"/>
  <c r="Q2" i="5" a="1"/>
  <c r="G36" i="5"/>
  <c r="G24" i="5"/>
  <c r="G78" i="5"/>
  <c r="G49" i="5"/>
  <c r="G75" i="5"/>
  <c r="G7" i="5"/>
  <c r="G19" i="5"/>
  <c r="G32" i="5"/>
  <c r="J95" i="5"/>
  <c r="J60" i="5"/>
  <c r="J33" i="5"/>
  <c r="J21" i="5"/>
  <c r="J17" i="5"/>
  <c r="G15" i="5"/>
  <c r="J35" i="5"/>
  <c r="G76" i="5"/>
  <c r="G40" i="5"/>
  <c r="G73" i="5"/>
  <c r="G33" i="5"/>
  <c r="G10" i="5"/>
  <c r="G11" i="5"/>
  <c r="J93" i="5"/>
  <c r="J58" i="5"/>
  <c r="J5" i="5"/>
  <c r="J19" i="5"/>
  <c r="J88" i="5"/>
  <c r="G13" i="5"/>
  <c r="G8" i="5"/>
  <c r="G31" i="5"/>
  <c r="J74" i="5"/>
  <c r="G46" i="5"/>
  <c r="J47" i="5"/>
  <c r="G102" i="5"/>
  <c r="G70" i="5"/>
  <c r="G99" i="5"/>
  <c r="G43" i="5"/>
  <c r="G29" i="5"/>
  <c r="G34" i="5"/>
  <c r="G26" i="5"/>
  <c r="J87" i="5"/>
  <c r="J65" i="5"/>
  <c r="J31" i="5"/>
  <c r="J98" i="5"/>
  <c r="J32" i="5"/>
  <c r="G98" i="5"/>
  <c r="A60" i="5"/>
  <c r="J42" i="5"/>
  <c r="J50" i="5"/>
  <c r="J34" i="5"/>
  <c r="G89" i="5"/>
  <c r="G48" i="5"/>
  <c r="J14" i="5"/>
  <c r="G41" i="5"/>
  <c r="J40" i="5"/>
  <c r="G62" i="5"/>
  <c r="J18" i="5"/>
  <c r="G100" i="5"/>
  <c r="G68" i="5"/>
  <c r="G97" i="5"/>
  <c r="G67" i="5"/>
  <c r="G27" i="5"/>
  <c r="G6" i="5"/>
  <c r="J61" i="5"/>
  <c r="J85" i="5"/>
  <c r="J52" i="5"/>
  <c r="J29" i="5"/>
  <c r="J59" i="5"/>
  <c r="J30" i="5"/>
  <c r="G63" i="5"/>
  <c r="G95" i="5"/>
  <c r="G25" i="5"/>
  <c r="G45" i="5"/>
  <c r="J83" i="5"/>
  <c r="J27" i="5"/>
  <c r="J28" i="5"/>
  <c r="G92" i="5"/>
  <c r="J51" i="5"/>
  <c r="J68" i="5"/>
  <c r="J15" i="5"/>
  <c r="G66" i="5"/>
  <c r="J12" i="5"/>
  <c r="G59" i="5"/>
  <c r="J102" i="5"/>
  <c r="G96" i="5"/>
  <c r="G61" i="5"/>
  <c r="G93" i="5"/>
  <c r="G58" i="5"/>
  <c r="G23" i="5"/>
  <c r="G52" i="5"/>
  <c r="J66" i="5"/>
  <c r="J81" i="5"/>
  <c r="J48" i="5"/>
  <c r="J25" i="5"/>
  <c r="J6" i="5"/>
  <c r="J26" i="5"/>
  <c r="G91" i="5"/>
  <c r="G50" i="5"/>
  <c r="J79" i="5"/>
  <c r="J100" i="5"/>
  <c r="J84" i="5"/>
  <c r="J24" i="5"/>
  <c r="G37" i="5"/>
  <c r="G12" i="5"/>
  <c r="J77" i="5"/>
  <c r="J57" i="5"/>
  <c r="G87" i="5"/>
  <c r="J36" i="5"/>
  <c r="G85" i="5"/>
  <c r="J76" i="5"/>
  <c r="G94" i="5"/>
  <c r="G42" i="5"/>
  <c r="G56" i="5"/>
  <c r="G14" i="5"/>
  <c r="J53" i="5"/>
  <c r="J23" i="5"/>
  <c r="G54" i="5"/>
  <c r="J49" i="5"/>
  <c r="J13" i="5"/>
  <c r="J73" i="5"/>
  <c r="J4" i="5"/>
  <c r="B48" i="5" l="1"/>
  <c r="U2" i="5"/>
  <c r="AP104" i="5" a="1"/>
  <c r="AP104" i="5" s="1"/>
  <c r="K27" i="4" s="1"/>
  <c r="AQ2" i="5"/>
  <c r="AQ104" i="5" s="1" a="1"/>
  <c r="AQ104" i="5" s="1"/>
  <c r="Z62" i="5"/>
  <c r="AA62" i="5" s="1" a="1"/>
  <c r="AA62" i="5" s="1"/>
  <c r="Z60" i="5"/>
  <c r="AA60" i="5" s="1" a="1"/>
  <c r="AA60" i="5" s="1"/>
  <c r="Z41" i="5"/>
  <c r="AA41" i="5" s="1" a="1"/>
  <c r="AA41" i="5" s="1"/>
  <c r="Z36" i="5"/>
  <c r="AA36" i="5" s="1" a="1"/>
  <c r="AA36" i="5" s="1"/>
  <c r="Z65" i="5"/>
  <c r="AA65" i="5" s="1" a="1"/>
  <c r="AA65" i="5" s="1"/>
  <c r="Z52" i="5"/>
  <c r="AA52" i="5" s="1" a="1"/>
  <c r="AA52" i="5" s="1"/>
  <c r="Z50" i="5"/>
  <c r="AA50" i="5" s="1" a="1"/>
  <c r="AA50" i="5" s="1"/>
  <c r="Z48" i="5"/>
  <c r="AA48" i="5" s="1" a="1"/>
  <c r="AA48" i="5" s="1"/>
  <c r="Z46" i="5"/>
  <c r="AA46" i="5" s="1" a="1"/>
  <c r="AA46" i="5" s="1"/>
  <c r="Z44" i="5"/>
  <c r="AA44" i="5" s="1" a="1"/>
  <c r="AA44" i="5" s="1"/>
  <c r="Z102" i="5"/>
  <c r="AA102" i="5" s="1" a="1"/>
  <c r="AA102" i="5" s="1"/>
  <c r="Z100" i="5"/>
  <c r="AA100" i="5" s="1" a="1"/>
  <c r="AA100" i="5" s="1"/>
  <c r="Z98" i="5"/>
  <c r="AA98" i="5" s="1" a="1"/>
  <c r="AA98" i="5" s="1"/>
  <c r="Z96" i="5"/>
  <c r="AA96" i="5" s="1" a="1"/>
  <c r="AA96" i="5" s="1"/>
  <c r="Z94" i="5"/>
  <c r="AA94" i="5" s="1" a="1"/>
  <c r="AA94" i="5" s="1"/>
  <c r="Z92" i="5"/>
  <c r="AA92" i="5" s="1" a="1"/>
  <c r="AA92" i="5" s="1"/>
  <c r="Z90" i="5"/>
  <c r="AA90" i="5" s="1" a="1"/>
  <c r="AA90" i="5" s="1"/>
  <c r="Z88" i="5"/>
  <c r="AA88" i="5" s="1" a="1"/>
  <c r="AA88" i="5" s="1"/>
  <c r="Z86" i="5"/>
  <c r="AA86" i="5" s="1" a="1"/>
  <c r="AA86" i="5" s="1"/>
  <c r="Z84" i="5"/>
  <c r="AA84" i="5" s="1" a="1"/>
  <c r="AA84" i="5" s="1"/>
  <c r="Z82" i="5"/>
  <c r="AA82" i="5" s="1" a="1"/>
  <c r="AA82" i="5" s="1"/>
  <c r="Z80" i="5"/>
  <c r="AA80" i="5" s="1" a="1"/>
  <c r="AA80" i="5" s="1"/>
  <c r="Z78" i="5"/>
  <c r="AA78" i="5" s="1" a="1"/>
  <c r="AA78" i="5" s="1"/>
  <c r="Z76" i="5"/>
  <c r="AA76" i="5" s="1" a="1"/>
  <c r="AA76" i="5" s="1"/>
  <c r="Z74" i="5"/>
  <c r="AA74" i="5" s="1" a="1"/>
  <c r="AA74" i="5" s="1"/>
  <c r="Z72" i="5"/>
  <c r="AA72" i="5" s="1" a="1"/>
  <c r="AA72" i="5" s="1"/>
  <c r="Z70" i="5"/>
  <c r="AA70" i="5" s="1" a="1"/>
  <c r="AA70" i="5" s="1"/>
  <c r="Z68" i="5"/>
  <c r="AA68" i="5" s="1" a="1"/>
  <c r="AA68" i="5" s="1"/>
  <c r="Z63" i="5"/>
  <c r="AA63" i="5" s="1" a="1"/>
  <c r="AA63" i="5" s="1"/>
  <c r="Z61" i="5"/>
  <c r="AA61" i="5" s="1" a="1"/>
  <c r="AA61" i="5" s="1"/>
  <c r="Z42" i="5"/>
  <c r="AA42" i="5" s="1" a="1"/>
  <c r="AA42" i="5" s="1"/>
  <c r="Z66" i="5"/>
  <c r="AA66" i="5" s="1" a="1"/>
  <c r="AA66" i="5" s="1"/>
  <c r="Z59" i="5"/>
  <c r="AA59" i="5" s="1" a="1"/>
  <c r="AA59" i="5" s="1"/>
  <c r="Z57" i="5"/>
  <c r="AA57" i="5" s="1" a="1"/>
  <c r="AA57" i="5" s="1"/>
  <c r="Z55" i="5"/>
  <c r="AA55" i="5" s="1" a="1"/>
  <c r="AA55" i="5" s="1"/>
  <c r="Z53" i="5"/>
  <c r="AA53" i="5" s="1" a="1"/>
  <c r="AA53" i="5" s="1"/>
  <c r="Z51" i="5"/>
  <c r="AA51" i="5" s="1" a="1"/>
  <c r="AA51" i="5" s="1"/>
  <c r="Z49" i="5"/>
  <c r="AA49" i="5" s="1" a="1"/>
  <c r="AA49" i="5" s="1"/>
  <c r="Z40" i="5"/>
  <c r="AA40" i="5" s="1" a="1"/>
  <c r="AA40" i="5" s="1"/>
  <c r="Z64" i="5"/>
  <c r="AA64" i="5" s="1" a="1"/>
  <c r="AA64" i="5" s="1"/>
  <c r="Z35" i="5"/>
  <c r="AA35" i="5" s="1" a="1"/>
  <c r="AA35" i="5" s="1"/>
  <c r="Z101" i="5"/>
  <c r="AA101" i="5" s="1" a="1"/>
  <c r="AA101" i="5" s="1"/>
  <c r="Z69" i="5"/>
  <c r="AA69" i="5" s="1" a="1"/>
  <c r="AA69" i="5" s="1"/>
  <c r="Z73" i="5"/>
  <c r="AA73" i="5" s="1" a="1"/>
  <c r="AA73" i="5" s="1"/>
  <c r="Z58" i="5"/>
  <c r="AA58" i="5" s="1" a="1"/>
  <c r="AA58" i="5" s="1"/>
  <c r="Z87" i="5"/>
  <c r="AA87" i="5" s="1" a="1"/>
  <c r="AA87" i="5" s="1"/>
  <c r="Z17" i="5"/>
  <c r="AA17" i="5" s="1" a="1"/>
  <c r="AA17" i="5" s="1"/>
  <c r="Z91" i="5"/>
  <c r="AA91" i="5" s="1" a="1"/>
  <c r="AA91" i="5" s="1"/>
  <c r="Z56" i="5"/>
  <c r="AA56" i="5" s="1" a="1"/>
  <c r="AA56" i="5" s="1"/>
  <c r="Z45" i="5"/>
  <c r="AA45" i="5" s="1" a="1"/>
  <c r="AA45" i="5" s="1"/>
  <c r="Z32" i="5"/>
  <c r="AA32" i="5" s="1" a="1"/>
  <c r="AA32" i="5" s="1"/>
  <c r="Z30" i="5"/>
  <c r="AA30" i="5" s="1" a="1"/>
  <c r="AA30" i="5" s="1"/>
  <c r="Z28" i="5"/>
  <c r="AA28" i="5" s="1" a="1"/>
  <c r="AA28" i="5" s="1"/>
  <c r="Z26" i="5"/>
  <c r="AA26" i="5" s="1" a="1"/>
  <c r="AA26" i="5" s="1"/>
  <c r="Z24" i="5"/>
  <c r="AA24" i="5" s="1" a="1"/>
  <c r="AA24" i="5" s="1"/>
  <c r="Z15" i="5"/>
  <c r="AA15" i="5" s="1" a="1"/>
  <c r="AA15" i="5" s="1"/>
  <c r="Z13" i="5"/>
  <c r="AA13" i="5" s="1" a="1"/>
  <c r="AA13" i="5" s="1"/>
  <c r="Z4" i="5"/>
  <c r="AA4" i="5" s="1" a="1"/>
  <c r="AA4" i="5" s="1"/>
  <c r="Z77" i="5"/>
  <c r="AA77" i="5" s="1" a="1"/>
  <c r="AA77" i="5" s="1"/>
  <c r="Z54" i="5"/>
  <c r="AA54" i="5" s="1" a="1"/>
  <c r="AA54" i="5" s="1"/>
  <c r="Z95" i="5"/>
  <c r="AA95" i="5" s="1" a="1"/>
  <c r="AA95" i="5" s="1"/>
  <c r="Z47" i="5"/>
  <c r="AA47" i="5" s="1" a="1"/>
  <c r="AA47" i="5" s="1"/>
  <c r="Z43" i="5"/>
  <c r="AA43" i="5" s="1" a="1"/>
  <c r="AA43" i="5" s="1"/>
  <c r="Z38" i="5"/>
  <c r="AA38" i="5" s="1" a="1"/>
  <c r="AA38" i="5" s="1"/>
  <c r="Z2" i="5"/>
  <c r="AA2" i="5" s="1" a="1"/>
  <c r="AA2" i="5" s="1"/>
  <c r="Z81" i="5"/>
  <c r="AA81" i="5" s="1" a="1"/>
  <c r="AA81" i="5" s="1"/>
  <c r="Z22" i="5"/>
  <c r="AA22" i="5" s="1" a="1"/>
  <c r="AA22" i="5" s="1"/>
  <c r="Z20" i="5"/>
  <c r="AA20" i="5" s="1" a="1"/>
  <c r="AA20" i="5" s="1"/>
  <c r="Z9" i="5"/>
  <c r="AA9" i="5" s="1" a="1"/>
  <c r="AA9" i="5" s="1"/>
  <c r="Z7" i="5"/>
  <c r="AA7" i="5" s="1" a="1"/>
  <c r="AA7" i="5" s="1"/>
  <c r="Z99" i="5"/>
  <c r="AA99" i="5" s="1" a="1"/>
  <c r="AA99" i="5" s="1"/>
  <c r="Z85" i="5"/>
  <c r="AA85" i="5" s="1" a="1"/>
  <c r="AA85" i="5" s="1"/>
  <c r="Z18" i="5"/>
  <c r="AA18" i="5" s="1" a="1"/>
  <c r="AA18" i="5" s="1"/>
  <c r="Z16" i="5"/>
  <c r="AA16" i="5" s="1" a="1"/>
  <c r="AA16" i="5" s="1"/>
  <c r="Z71" i="5"/>
  <c r="AA71" i="5" s="1" a="1"/>
  <c r="AA71" i="5" s="1"/>
  <c r="Z67" i="5"/>
  <c r="AA67" i="5" s="1" a="1"/>
  <c r="AA67" i="5" s="1"/>
  <c r="Z33" i="5"/>
  <c r="AA33" i="5" s="1" a="1"/>
  <c r="AA33" i="5" s="1"/>
  <c r="Z5" i="5"/>
  <c r="AA5" i="5" s="1" a="1"/>
  <c r="AA5" i="5" s="1"/>
  <c r="Z89" i="5"/>
  <c r="AA89" i="5" s="1" a="1"/>
  <c r="AA89" i="5" s="1"/>
  <c r="Z75" i="5"/>
  <c r="AA75" i="5" s="1" a="1"/>
  <c r="AA75" i="5" s="1"/>
  <c r="Z37" i="5"/>
  <c r="AA37" i="5" s="1" a="1"/>
  <c r="AA37" i="5" s="1"/>
  <c r="Z31" i="5"/>
  <c r="AA31" i="5" s="1" a="1"/>
  <c r="AA31" i="5" s="1"/>
  <c r="Z29" i="5"/>
  <c r="AA29" i="5" s="1" a="1"/>
  <c r="AA29" i="5" s="1"/>
  <c r="Z27" i="5"/>
  <c r="AA27" i="5" s="1" a="1"/>
  <c r="AA27" i="5" s="1"/>
  <c r="Z25" i="5"/>
  <c r="AA25" i="5" s="1" a="1"/>
  <c r="AA25" i="5" s="1"/>
  <c r="Z23" i="5"/>
  <c r="AA23" i="5" s="1" a="1"/>
  <c r="AA23" i="5" s="1"/>
  <c r="Z14" i="5"/>
  <c r="AA14" i="5" s="1" a="1"/>
  <c r="AA14" i="5" s="1"/>
  <c r="Z12" i="5"/>
  <c r="AA12" i="5" s="1" a="1"/>
  <c r="AA12" i="5" s="1"/>
  <c r="Z93" i="5"/>
  <c r="AA93" i="5" s="1" a="1"/>
  <c r="AA93" i="5" s="1"/>
  <c r="Z97" i="5"/>
  <c r="AA97" i="5" s="1" a="1"/>
  <c r="AA97" i="5" s="1"/>
  <c r="Z10" i="5"/>
  <c r="AA10" i="5" s="1" a="1"/>
  <c r="AA10" i="5" s="1"/>
  <c r="Z3" i="5"/>
  <c r="AA3" i="5" s="1" a="1"/>
  <c r="AA3" i="5" s="1"/>
  <c r="Z11" i="5"/>
  <c r="AA11" i="5" s="1" a="1"/>
  <c r="AA11" i="5" s="1"/>
  <c r="Z19" i="5"/>
  <c r="AA19" i="5" s="1" a="1"/>
  <c r="AA19" i="5" s="1"/>
  <c r="Z8" i="5"/>
  <c r="AA8" i="5" s="1" a="1"/>
  <c r="AA8" i="5" s="1"/>
  <c r="Z21" i="5"/>
  <c r="AA21" i="5" s="1" a="1"/>
  <c r="AA21" i="5" s="1"/>
  <c r="Z83" i="5"/>
  <c r="AA83" i="5" s="1" a="1"/>
  <c r="AA83" i="5" s="1"/>
  <c r="Z6" i="5"/>
  <c r="AA6" i="5" s="1" a="1"/>
  <c r="AA6" i="5" s="1"/>
  <c r="Z39" i="5"/>
  <c r="AA39" i="5" s="1" a="1"/>
  <c r="AA39" i="5" s="1"/>
  <c r="Z34" i="5"/>
  <c r="AA34" i="5" s="1" a="1"/>
  <c r="AA34" i="5" s="1"/>
  <c r="Z79" i="5"/>
  <c r="AA79" i="5" s="1" a="1"/>
  <c r="AA79" i="5" s="1"/>
  <c r="AO104" i="5" a="1"/>
  <c r="AO104" i="5" s="1"/>
  <c r="AR2" i="5" s="1"/>
  <c r="Q7" i="5"/>
  <c r="Q6" i="5"/>
  <c r="B54" i="5" a="1"/>
  <c r="Q4" i="5"/>
  <c r="Q18" i="5"/>
  <c r="Q17" i="5"/>
  <c r="Q2" i="5"/>
  <c r="Q16" i="5"/>
  <c r="W2" i="5" a="1"/>
  <c r="Q13" i="5"/>
  <c r="Q15" i="5"/>
  <c r="Q14" i="5"/>
  <c r="Q12" i="5"/>
  <c r="Q9" i="5"/>
  <c r="Q11" i="5"/>
  <c r="V2" i="5" a="1"/>
  <c r="Q3" i="5"/>
  <c r="Q10" i="5"/>
  <c r="Q5" i="5"/>
  <c r="Q8" i="5"/>
  <c r="R8" i="5" l="1"/>
  <c r="R5" i="5"/>
  <c r="R10" i="5"/>
  <c r="R3" i="5"/>
  <c r="V2" i="5"/>
  <c r="AC2" i="5" s="1"/>
  <c r="R11" i="5"/>
  <c r="R9" i="5"/>
  <c r="R12" i="5"/>
  <c r="R14" i="5"/>
  <c r="R15" i="5"/>
  <c r="R13" i="5"/>
  <c r="W2" i="5"/>
  <c r="R16" i="5"/>
  <c r="R2" i="5"/>
  <c r="R17" i="5"/>
  <c r="R18" i="5"/>
  <c r="R4" i="5"/>
  <c r="B54" i="5"/>
  <c r="R6" i="5"/>
  <c r="R7" i="5"/>
  <c r="AR47" i="5"/>
  <c r="AR45" i="5"/>
  <c r="AR101" i="5"/>
  <c r="AR99" i="5"/>
  <c r="AR97" i="5"/>
  <c r="AR95" i="5"/>
  <c r="AR93" i="5"/>
  <c r="AR91" i="5"/>
  <c r="AR89" i="5"/>
  <c r="AR87" i="5"/>
  <c r="AR85" i="5"/>
  <c r="AR83" i="5"/>
  <c r="AR81" i="5"/>
  <c r="AR79" i="5"/>
  <c r="AR77" i="5"/>
  <c r="AR75" i="5"/>
  <c r="AR73" i="5"/>
  <c r="AR71" i="5"/>
  <c r="AR69" i="5"/>
  <c r="AR67" i="5"/>
  <c r="AR38" i="5"/>
  <c r="AR62" i="5"/>
  <c r="AR60" i="5"/>
  <c r="AR41" i="5"/>
  <c r="AR65" i="5"/>
  <c r="AR46" i="5"/>
  <c r="AR44" i="5"/>
  <c r="AR102" i="5"/>
  <c r="AR100" i="5"/>
  <c r="AR98" i="5"/>
  <c r="AR96" i="5"/>
  <c r="AR94" i="5"/>
  <c r="AR92" i="5"/>
  <c r="AR90" i="5"/>
  <c r="AR88" i="5"/>
  <c r="AR86" i="5"/>
  <c r="AR84" i="5"/>
  <c r="AR82" i="5"/>
  <c r="AR80" i="5"/>
  <c r="AR78" i="5"/>
  <c r="AR76" i="5"/>
  <c r="AR74" i="5"/>
  <c r="AR72" i="5"/>
  <c r="AR70" i="5"/>
  <c r="AR68" i="5"/>
  <c r="AR63" i="5"/>
  <c r="AR61" i="5"/>
  <c r="AR42" i="5"/>
  <c r="AR37" i="5"/>
  <c r="AR66" i="5"/>
  <c r="AR59" i="5"/>
  <c r="AR57" i="5"/>
  <c r="AR55" i="5"/>
  <c r="AR40" i="5"/>
  <c r="AR34" i="5"/>
  <c r="AR21" i="5"/>
  <c r="AR19" i="5"/>
  <c r="AR10" i="5"/>
  <c r="AR8" i="5"/>
  <c r="AR17" i="5"/>
  <c r="AR39" i="5"/>
  <c r="AR15" i="5"/>
  <c r="AR36" i="5"/>
  <c r="AR32" i="5"/>
  <c r="AR30" i="5"/>
  <c r="AR28" i="5"/>
  <c r="AR26" i="5"/>
  <c r="AR24" i="5"/>
  <c r="AR13" i="5"/>
  <c r="AR11" i="5"/>
  <c r="AR4" i="5"/>
  <c r="AR22" i="5"/>
  <c r="AR58" i="5"/>
  <c r="AR20" i="5"/>
  <c r="AR18" i="5"/>
  <c r="AR9" i="5"/>
  <c r="AR7" i="5"/>
  <c r="AR56" i="5"/>
  <c r="AR64" i="5"/>
  <c r="AR54" i="5"/>
  <c r="AR53" i="5"/>
  <c r="AR52" i="5"/>
  <c r="AR51" i="5"/>
  <c r="AR49" i="5"/>
  <c r="AR35" i="5"/>
  <c r="AR50" i="5"/>
  <c r="AR48" i="5"/>
  <c r="AR43" i="5"/>
  <c r="AR23" i="5"/>
  <c r="AR33" i="5"/>
  <c r="AR29" i="5"/>
  <c r="AR14" i="5"/>
  <c r="AR16" i="5"/>
  <c r="AR25" i="5"/>
  <c r="AR3" i="5"/>
  <c r="AR27" i="5"/>
  <c r="AR12" i="5"/>
  <c r="AR5" i="5"/>
  <c r="AR6" i="5"/>
  <c r="AR31" i="5"/>
  <c r="K66" i="5"/>
  <c r="K59" i="5"/>
  <c r="K57" i="5"/>
  <c r="K55" i="5"/>
  <c r="K53" i="5"/>
  <c r="K51" i="5"/>
  <c r="K49" i="5"/>
  <c r="K40" i="5"/>
  <c r="K64" i="5"/>
  <c r="K101" i="5"/>
  <c r="K99" i="5"/>
  <c r="K97" i="5"/>
  <c r="K95" i="5"/>
  <c r="K93" i="5"/>
  <c r="K91" i="5"/>
  <c r="K89" i="5"/>
  <c r="K87" i="5"/>
  <c r="K85" i="5"/>
  <c r="K83" i="5"/>
  <c r="K81" i="5"/>
  <c r="K79" i="5"/>
  <c r="K77" i="5"/>
  <c r="K75" i="5"/>
  <c r="K73" i="5"/>
  <c r="K71" i="5"/>
  <c r="K69" i="5"/>
  <c r="K43" i="5"/>
  <c r="K67" i="5"/>
  <c r="K58" i="5"/>
  <c r="K56" i="5"/>
  <c r="K54" i="5"/>
  <c r="K46" i="5"/>
  <c r="K44" i="5"/>
  <c r="K39" i="5"/>
  <c r="K86" i="5"/>
  <c r="K33" i="5"/>
  <c r="K5" i="5"/>
  <c r="K90" i="5"/>
  <c r="K63" i="5"/>
  <c r="K31" i="5"/>
  <c r="K72" i="5"/>
  <c r="K37" i="5"/>
  <c r="K16" i="5"/>
  <c r="K76" i="5"/>
  <c r="K3" i="5"/>
  <c r="K94" i="5"/>
  <c r="K62" i="5"/>
  <c r="K80" i="5"/>
  <c r="K61" i="5"/>
  <c r="K60" i="5"/>
  <c r="K21" i="5"/>
  <c r="K19" i="5"/>
  <c r="K10" i="5"/>
  <c r="K8" i="5"/>
  <c r="K30" i="5"/>
  <c r="K4" i="5"/>
  <c r="K98" i="5"/>
  <c r="K34" i="5"/>
  <c r="K6" i="5"/>
  <c r="K28" i="5"/>
  <c r="K26" i="5"/>
  <c r="K84" i="5"/>
  <c r="K65" i="5"/>
  <c r="K36" i="5"/>
  <c r="K102" i="5"/>
  <c r="K70" i="5"/>
  <c r="K45" i="5"/>
  <c r="K17" i="5"/>
  <c r="K32" i="5"/>
  <c r="K24" i="5"/>
  <c r="K15" i="5"/>
  <c r="K13" i="5"/>
  <c r="K88" i="5"/>
  <c r="K52" i="5"/>
  <c r="K50" i="5"/>
  <c r="K48" i="5"/>
  <c r="I10" i="2"/>
  <c r="K74" i="5"/>
  <c r="K47" i="5"/>
  <c r="K92" i="5"/>
  <c r="K11" i="5"/>
  <c r="K2" i="5"/>
  <c r="K42" i="5"/>
  <c r="K41" i="5"/>
  <c r="K78" i="5"/>
  <c r="K82" i="5"/>
  <c r="K9" i="5"/>
  <c r="K25" i="5"/>
  <c r="K23" i="5"/>
  <c r="K68" i="5"/>
  <c r="K18" i="5"/>
  <c r="K7" i="5"/>
  <c r="K27" i="5"/>
  <c r="K20" i="5"/>
  <c r="K12" i="5"/>
  <c r="K100" i="5"/>
  <c r="K22" i="5"/>
  <c r="K29" i="5"/>
  <c r="K96" i="5"/>
  <c r="K35" i="5"/>
  <c r="K14" i="5"/>
  <c r="K38" i="5"/>
  <c r="AR104" i="5" l="1" a="1"/>
  <c r="AR104" i="5" s="1"/>
  <c r="N53" i="5"/>
  <c r="O53" i="5" s="1"/>
  <c r="N51" i="5"/>
  <c r="O51" i="5" s="1"/>
  <c r="N49" i="5"/>
  <c r="O49" i="5" s="1"/>
  <c r="N40" i="5"/>
  <c r="O40" i="5" s="1"/>
  <c r="N64" i="5"/>
  <c r="O64" i="5" s="1"/>
  <c r="N47" i="5"/>
  <c r="O47" i="5" s="1"/>
  <c r="N45" i="5"/>
  <c r="O45" i="5" s="1"/>
  <c r="N101" i="5"/>
  <c r="O101" i="5" s="1"/>
  <c r="N99" i="5"/>
  <c r="O99" i="5" s="1"/>
  <c r="N97" i="5"/>
  <c r="O97" i="5" s="1"/>
  <c r="N95" i="5"/>
  <c r="O95" i="5" s="1"/>
  <c r="N93" i="5"/>
  <c r="O93" i="5" s="1"/>
  <c r="N91" i="5"/>
  <c r="O91" i="5" s="1"/>
  <c r="N89" i="5"/>
  <c r="O89" i="5" s="1"/>
  <c r="N87" i="5"/>
  <c r="O87" i="5" s="1"/>
  <c r="N85" i="5"/>
  <c r="O85" i="5" s="1"/>
  <c r="N83" i="5"/>
  <c r="O83" i="5" s="1"/>
  <c r="N81" i="5"/>
  <c r="O81" i="5" s="1"/>
  <c r="N79" i="5"/>
  <c r="O79" i="5" s="1"/>
  <c r="N77" i="5"/>
  <c r="O77" i="5" s="1"/>
  <c r="N75" i="5"/>
  <c r="O75" i="5" s="1"/>
  <c r="N73" i="5"/>
  <c r="O73" i="5" s="1"/>
  <c r="N71" i="5"/>
  <c r="O71" i="5" s="1"/>
  <c r="N69" i="5"/>
  <c r="O69" i="5" s="1"/>
  <c r="N43" i="5"/>
  <c r="O43" i="5" s="1"/>
  <c r="N67" i="5"/>
  <c r="O67" i="5" s="1"/>
  <c r="N62" i="5"/>
  <c r="O62" i="5" s="1"/>
  <c r="N60" i="5"/>
  <c r="O60" i="5" s="1"/>
  <c r="N103" i="5"/>
  <c r="N65" i="5"/>
  <c r="O65" i="5" s="1"/>
  <c r="N52" i="5"/>
  <c r="O52" i="5" s="1"/>
  <c r="N50" i="5"/>
  <c r="O50" i="5" s="1"/>
  <c r="N48" i="5"/>
  <c r="O48" i="5" s="1"/>
  <c r="N102" i="5"/>
  <c r="O102" i="5" s="1"/>
  <c r="N100" i="5"/>
  <c r="O100" i="5" s="1"/>
  <c r="N98" i="5"/>
  <c r="O98" i="5" s="1"/>
  <c r="N96" i="5"/>
  <c r="O96" i="5" s="1"/>
  <c r="N94" i="5"/>
  <c r="O94" i="5" s="1"/>
  <c r="N92" i="5"/>
  <c r="O92" i="5" s="1"/>
  <c r="N90" i="5"/>
  <c r="O90" i="5" s="1"/>
  <c r="N88" i="5"/>
  <c r="O88" i="5" s="1"/>
  <c r="N86" i="5"/>
  <c r="O86" i="5" s="1"/>
  <c r="N84" i="5"/>
  <c r="O84" i="5" s="1"/>
  <c r="N82" i="5"/>
  <c r="O82" i="5" s="1"/>
  <c r="N80" i="5"/>
  <c r="O80" i="5" s="1"/>
  <c r="N78" i="5"/>
  <c r="O78" i="5" s="1"/>
  <c r="N76" i="5"/>
  <c r="O76" i="5" s="1"/>
  <c r="N74" i="5"/>
  <c r="O74" i="5" s="1"/>
  <c r="N72" i="5"/>
  <c r="O72" i="5" s="1"/>
  <c r="N70" i="5"/>
  <c r="O70" i="5" s="1"/>
  <c r="N68" i="5"/>
  <c r="O68" i="5" s="1"/>
  <c r="N63" i="5"/>
  <c r="O63" i="5" s="1"/>
  <c r="N31" i="5"/>
  <c r="O31" i="5" s="1"/>
  <c r="N29" i="5"/>
  <c r="O29" i="5" s="1"/>
  <c r="N27" i="5"/>
  <c r="O27" i="5" s="1"/>
  <c r="N25" i="5"/>
  <c r="O25" i="5" s="1"/>
  <c r="N23" i="5"/>
  <c r="O23" i="5" s="1"/>
  <c r="N14" i="5"/>
  <c r="N12" i="5"/>
  <c r="N3" i="5"/>
  <c r="N61" i="5"/>
  <c r="O61" i="5" s="1"/>
  <c r="N21" i="5"/>
  <c r="O21" i="5" s="1"/>
  <c r="N19" i="5"/>
  <c r="O19" i="5" s="1"/>
  <c r="N10" i="5"/>
  <c r="N8" i="5"/>
  <c r="N34" i="5"/>
  <c r="O34" i="5" s="1"/>
  <c r="N39" i="5"/>
  <c r="O39" i="5" s="1"/>
  <c r="N59" i="5"/>
  <c r="O59" i="5" s="1"/>
  <c r="N36" i="5"/>
  <c r="O36" i="5" s="1"/>
  <c r="N58" i="5"/>
  <c r="O58" i="5" s="1"/>
  <c r="N57" i="5"/>
  <c r="O57" i="5" s="1"/>
  <c r="N17" i="5"/>
  <c r="N56" i="5"/>
  <c r="O56" i="5" s="1"/>
  <c r="N55" i="5"/>
  <c r="O55" i="5" s="1"/>
  <c r="N54" i="5"/>
  <c r="O54" i="5" s="1"/>
  <c r="N46" i="5"/>
  <c r="O46" i="5" s="1"/>
  <c r="N44" i="5"/>
  <c r="O44" i="5" s="1"/>
  <c r="N32" i="5"/>
  <c r="O32" i="5" s="1"/>
  <c r="N30" i="5"/>
  <c r="O30" i="5" s="1"/>
  <c r="N28" i="5"/>
  <c r="O28" i="5" s="1"/>
  <c r="N26" i="5"/>
  <c r="O26" i="5" s="1"/>
  <c r="N24" i="5"/>
  <c r="O24" i="5" s="1"/>
  <c r="N15" i="5"/>
  <c r="N13" i="5"/>
  <c r="N4" i="5"/>
  <c r="N11" i="5"/>
  <c r="N2" i="5"/>
  <c r="N66" i="5"/>
  <c r="O66" i="5" s="1"/>
  <c r="N42" i="5"/>
  <c r="O42" i="5" s="1"/>
  <c r="N38" i="5"/>
  <c r="O38" i="5" s="1"/>
  <c r="N41" i="5"/>
  <c r="O41" i="5" s="1"/>
  <c r="N22" i="5"/>
  <c r="O22" i="5" s="1"/>
  <c r="N20" i="5"/>
  <c r="O20" i="5" s="1"/>
  <c r="N9" i="5"/>
  <c r="N7" i="5"/>
  <c r="N35" i="5"/>
  <c r="O35" i="5" s="1"/>
  <c r="N6" i="5"/>
  <c r="N18" i="5"/>
  <c r="N33" i="5"/>
  <c r="O33" i="5" s="1"/>
  <c r="N37" i="5"/>
  <c r="O37" i="5" s="1"/>
  <c r="N5" i="5"/>
  <c r="N16" i="5"/>
  <c r="AD46" i="5"/>
  <c r="AE46" i="5" s="1" a="1"/>
  <c r="AE46" i="5" s="1"/>
  <c r="AD44" i="5"/>
  <c r="AE44" i="5" s="1" a="1"/>
  <c r="AE44" i="5" s="1"/>
  <c r="AD39" i="5"/>
  <c r="AE39" i="5" s="1" a="1"/>
  <c r="AE39" i="5" s="1"/>
  <c r="AD102" i="5"/>
  <c r="AE102" i="5" s="1" a="1"/>
  <c r="AE102" i="5" s="1"/>
  <c r="AD100" i="5"/>
  <c r="AE100" i="5" s="1" a="1"/>
  <c r="AE100" i="5" s="1"/>
  <c r="AD98" i="5"/>
  <c r="AE98" i="5" s="1" a="1"/>
  <c r="AE98" i="5" s="1"/>
  <c r="AD96" i="5"/>
  <c r="AE96" i="5" s="1" a="1"/>
  <c r="AE96" i="5" s="1"/>
  <c r="AD94" i="5"/>
  <c r="AE94" i="5" s="1" a="1"/>
  <c r="AE94" i="5" s="1"/>
  <c r="AD92" i="5"/>
  <c r="AE92" i="5" s="1" a="1"/>
  <c r="AE92" i="5" s="1"/>
  <c r="AD90" i="5"/>
  <c r="AE90" i="5" s="1" a="1"/>
  <c r="AE90" i="5" s="1"/>
  <c r="AD88" i="5"/>
  <c r="AE88" i="5" s="1" a="1"/>
  <c r="AE88" i="5" s="1"/>
  <c r="AD86" i="5"/>
  <c r="AE86" i="5" s="1" a="1"/>
  <c r="AE86" i="5" s="1"/>
  <c r="AD84" i="5"/>
  <c r="AE84" i="5" s="1" a="1"/>
  <c r="AE84" i="5" s="1"/>
  <c r="AD82" i="5"/>
  <c r="AE82" i="5" s="1" a="1"/>
  <c r="AE82" i="5" s="1"/>
  <c r="AD80" i="5"/>
  <c r="AE80" i="5" s="1" a="1"/>
  <c r="AE80" i="5" s="1"/>
  <c r="AD78" i="5"/>
  <c r="AE78" i="5" s="1" a="1"/>
  <c r="AE78" i="5" s="1"/>
  <c r="AD76" i="5"/>
  <c r="AE76" i="5" s="1" a="1"/>
  <c r="AE76" i="5" s="1"/>
  <c r="AD74" i="5"/>
  <c r="AE74" i="5" s="1" a="1"/>
  <c r="AE74" i="5" s="1"/>
  <c r="AD72" i="5"/>
  <c r="AE72" i="5" s="1" a="1"/>
  <c r="AE72" i="5" s="1"/>
  <c r="AD70" i="5"/>
  <c r="AE70" i="5" s="1" a="1"/>
  <c r="AE70" i="5" s="1"/>
  <c r="AD68" i="5"/>
  <c r="AE68" i="5" s="1" a="1"/>
  <c r="AE68" i="5" s="1"/>
  <c r="AD63" i="5"/>
  <c r="AE63" i="5" s="1" a="1"/>
  <c r="AE63" i="5" s="1"/>
  <c r="AD61" i="5"/>
  <c r="AE61" i="5" s="1" a="1"/>
  <c r="AE61" i="5" s="1"/>
  <c r="AD42" i="5"/>
  <c r="AE42" i="5" s="1" a="1"/>
  <c r="AE42" i="5" s="1"/>
  <c r="AD66" i="5"/>
  <c r="AE66" i="5" s="1" a="1"/>
  <c r="AE66" i="5" s="1"/>
  <c r="AD64" i="5"/>
  <c r="AE64" i="5" s="1" a="1"/>
  <c r="AE64" i="5" s="1"/>
  <c r="AD47" i="5"/>
  <c r="AE47" i="5" s="1" a="1"/>
  <c r="AE47" i="5" s="1"/>
  <c r="AD45" i="5"/>
  <c r="AE45" i="5" s="1" a="1"/>
  <c r="AE45" i="5" s="1"/>
  <c r="AD101" i="5"/>
  <c r="AE101" i="5" s="1" a="1"/>
  <c r="AE101" i="5" s="1"/>
  <c r="AD99" i="5"/>
  <c r="AE99" i="5" s="1" a="1"/>
  <c r="AE99" i="5" s="1"/>
  <c r="AD97" i="5"/>
  <c r="AE97" i="5" s="1" a="1"/>
  <c r="AE97" i="5" s="1"/>
  <c r="AD95" i="5"/>
  <c r="AE95" i="5" s="1" a="1"/>
  <c r="AE95" i="5" s="1"/>
  <c r="AD93" i="5"/>
  <c r="AE93" i="5" s="1" a="1"/>
  <c r="AE93" i="5" s="1"/>
  <c r="AD91" i="5"/>
  <c r="AE91" i="5" s="1" a="1"/>
  <c r="AE91" i="5" s="1"/>
  <c r="AD89" i="5"/>
  <c r="AE89" i="5" s="1" a="1"/>
  <c r="AE89" i="5" s="1"/>
  <c r="AD87" i="5"/>
  <c r="AE87" i="5" s="1" a="1"/>
  <c r="AE87" i="5" s="1"/>
  <c r="AD85" i="5"/>
  <c r="AE85" i="5" s="1" a="1"/>
  <c r="AE85" i="5" s="1"/>
  <c r="AD83" i="5"/>
  <c r="AE83" i="5" s="1" a="1"/>
  <c r="AE83" i="5" s="1"/>
  <c r="AD81" i="5"/>
  <c r="AE81" i="5" s="1" a="1"/>
  <c r="AE81" i="5" s="1"/>
  <c r="AD79" i="5"/>
  <c r="AE79" i="5" s="1" a="1"/>
  <c r="AE79" i="5" s="1"/>
  <c r="AD77" i="5"/>
  <c r="AE77" i="5" s="1" a="1"/>
  <c r="AE77" i="5" s="1"/>
  <c r="AD75" i="5"/>
  <c r="AE75" i="5" s="1" a="1"/>
  <c r="AE75" i="5" s="1"/>
  <c r="AD73" i="5"/>
  <c r="AE73" i="5" s="1" a="1"/>
  <c r="AE73" i="5" s="1"/>
  <c r="AD71" i="5"/>
  <c r="AE71" i="5" s="1" a="1"/>
  <c r="AE71" i="5" s="1"/>
  <c r="AD69" i="5"/>
  <c r="AE69" i="5" s="1" a="1"/>
  <c r="AE69" i="5" s="1"/>
  <c r="AD62" i="5"/>
  <c r="AE62" i="5" s="1" a="1"/>
  <c r="AE62" i="5" s="1"/>
  <c r="AD60" i="5"/>
  <c r="AE60" i="5" s="1" a="1"/>
  <c r="AE60" i="5" s="1"/>
  <c r="AD58" i="5"/>
  <c r="AE58" i="5" s="1" a="1"/>
  <c r="AE58" i="5" s="1"/>
  <c r="AD56" i="5"/>
  <c r="AE56" i="5" s="1" a="1"/>
  <c r="AE56" i="5" s="1"/>
  <c r="AD54" i="5"/>
  <c r="AE54" i="5" s="1" a="1"/>
  <c r="AE54" i="5" s="1"/>
  <c r="AD38" i="5"/>
  <c r="AE38" i="5" s="1" a="1"/>
  <c r="AE38" i="5" s="1"/>
  <c r="AD53" i="5"/>
  <c r="AE53" i="5" s="1" a="1"/>
  <c r="AE53" i="5" s="1"/>
  <c r="AD51" i="5"/>
  <c r="AE51" i="5" s="1" a="1"/>
  <c r="AE51" i="5" s="1"/>
  <c r="AD65" i="5"/>
  <c r="AE65" i="5" s="1" a="1"/>
  <c r="AE65" i="5" s="1"/>
  <c r="AD52" i="5"/>
  <c r="AE52" i="5" s="1" a="1"/>
  <c r="AE52" i="5" s="1"/>
  <c r="AD50" i="5"/>
  <c r="AE50" i="5" s="1" a="1"/>
  <c r="AE50" i="5" s="1"/>
  <c r="AD48" i="5"/>
  <c r="AE48" i="5" s="1" a="1"/>
  <c r="AE48" i="5" s="1"/>
  <c r="AD43" i="5"/>
  <c r="AE43" i="5" s="1" a="1"/>
  <c r="AE43" i="5" s="1"/>
  <c r="AD22" i="5"/>
  <c r="AE22" i="5" s="1" a="1"/>
  <c r="AE22" i="5" s="1"/>
  <c r="AD20" i="5"/>
  <c r="AE20" i="5" s="1" a="1"/>
  <c r="AE20" i="5" s="1"/>
  <c r="AD9" i="5"/>
  <c r="AE9" i="5" s="1" a="1"/>
  <c r="AE9" i="5" s="1"/>
  <c r="AD7" i="5"/>
  <c r="AE7" i="5" s="1" a="1"/>
  <c r="AE7" i="5" s="1"/>
  <c r="AD49" i="5"/>
  <c r="AE49" i="5" s="1" a="1"/>
  <c r="AE49" i="5" s="1"/>
  <c r="AD41" i="5"/>
  <c r="AE41" i="5" s="1" a="1"/>
  <c r="AE41" i="5" s="1"/>
  <c r="AD35" i="5"/>
  <c r="AE35" i="5" s="1" a="1"/>
  <c r="AE35" i="5" s="1"/>
  <c r="AD18" i="5"/>
  <c r="AE18" i="5" s="1" a="1"/>
  <c r="AE18" i="5" s="1"/>
  <c r="AD33" i="5"/>
  <c r="AE33" i="5" s="1" a="1"/>
  <c r="AE33" i="5" s="1"/>
  <c r="AD67" i="5"/>
  <c r="AE67" i="5" s="1" a="1"/>
  <c r="AE67" i="5" s="1"/>
  <c r="AD16" i="5"/>
  <c r="AE16" i="5" s="1" a="1"/>
  <c r="AE16" i="5" s="1"/>
  <c r="AD2" i="5"/>
  <c r="AE2" i="5" s="1" a="1"/>
  <c r="AE2" i="5" s="1"/>
  <c r="AD40" i="5"/>
  <c r="AE40" i="5" s="1" a="1"/>
  <c r="AE40" i="5" s="1"/>
  <c r="AD37" i="5"/>
  <c r="AE37" i="5" s="1" a="1"/>
  <c r="AE37" i="5" s="1"/>
  <c r="AD31" i="5"/>
  <c r="AE31" i="5" s="1" a="1"/>
  <c r="AE31" i="5" s="1"/>
  <c r="AD29" i="5"/>
  <c r="AE29" i="5" s="1" a="1"/>
  <c r="AE29" i="5" s="1"/>
  <c r="AD27" i="5"/>
  <c r="AE27" i="5" s="1" a="1"/>
  <c r="AE27" i="5" s="1"/>
  <c r="AD25" i="5"/>
  <c r="AE25" i="5" s="1" a="1"/>
  <c r="AE25" i="5" s="1"/>
  <c r="AD23" i="5"/>
  <c r="AE23" i="5" s="1" a="1"/>
  <c r="AE23" i="5" s="1"/>
  <c r="AD14" i="5"/>
  <c r="AE14" i="5" s="1" a="1"/>
  <c r="AE14" i="5" s="1"/>
  <c r="AD12" i="5"/>
  <c r="AE12" i="5" s="1" a="1"/>
  <c r="AE12" i="5" s="1"/>
  <c r="AD6" i="5"/>
  <c r="AE6" i="5" s="1" a="1"/>
  <c r="AE6" i="5" s="1"/>
  <c r="AD3" i="5"/>
  <c r="AE3" i="5" s="1" a="1"/>
  <c r="AE3" i="5" s="1"/>
  <c r="AD21" i="5"/>
  <c r="AE21" i="5" s="1" a="1"/>
  <c r="AE21" i="5" s="1"/>
  <c r="AD19" i="5"/>
  <c r="AE19" i="5" s="1" a="1"/>
  <c r="AE19" i="5" s="1"/>
  <c r="AD10" i="5"/>
  <c r="AE10" i="5" s="1" a="1"/>
  <c r="AE10" i="5" s="1"/>
  <c r="AD8" i="5"/>
  <c r="AE8" i="5" s="1" a="1"/>
  <c r="AE8" i="5" s="1"/>
  <c r="AD34" i="5"/>
  <c r="AE34" i="5" s="1" a="1"/>
  <c r="AE34" i="5" s="1"/>
  <c r="AD32" i="5"/>
  <c r="AE32" i="5" s="1" a="1"/>
  <c r="AE32" i="5" s="1"/>
  <c r="AD4" i="5"/>
  <c r="AE4" i="5" s="1" a="1"/>
  <c r="AE4" i="5" s="1"/>
  <c r="AD30" i="5"/>
  <c r="AE30" i="5" s="1" a="1"/>
  <c r="AE30" i="5" s="1"/>
  <c r="AD28" i="5"/>
  <c r="AE28" i="5" s="1" a="1"/>
  <c r="AE28" i="5" s="1"/>
  <c r="AD5" i="5"/>
  <c r="AE5" i="5" s="1" a="1"/>
  <c r="AE5" i="5" s="1"/>
  <c r="AD26" i="5"/>
  <c r="AE26" i="5" s="1" a="1"/>
  <c r="AE26" i="5" s="1"/>
  <c r="AD13" i="5"/>
  <c r="AE13" i="5" s="1" a="1"/>
  <c r="AE13" i="5" s="1"/>
  <c r="AD59" i="5"/>
  <c r="AE59" i="5" s="1" a="1"/>
  <c r="AE59" i="5" s="1"/>
  <c r="AD15" i="5"/>
  <c r="AE15" i="5" s="1" a="1"/>
  <c r="AE15" i="5" s="1"/>
  <c r="AD24" i="5"/>
  <c r="AE24" i="5" s="1" a="1"/>
  <c r="AE24" i="5" s="1"/>
  <c r="AD57" i="5"/>
  <c r="AE57" i="5" s="1" a="1"/>
  <c r="AE57" i="5" s="1"/>
  <c r="AD17" i="5"/>
  <c r="AE17" i="5" s="1" a="1"/>
  <c r="AE17" i="5" s="1"/>
  <c r="AD11" i="5"/>
  <c r="AE11" i="5" s="1" a="1"/>
  <c r="AE11" i="5" s="1"/>
  <c r="AD55" i="5"/>
  <c r="AE55" i="5" s="1" a="1"/>
  <c r="AE55" i="5" s="1"/>
  <c r="AD36" i="5"/>
  <c r="AE36" i="5" s="1" a="1"/>
  <c r="AE36" i="5" s="1"/>
  <c r="L64" i="5"/>
  <c r="L35" i="5"/>
  <c r="L47" i="5"/>
  <c r="L45" i="5"/>
  <c r="L101" i="5"/>
  <c r="L99" i="5"/>
  <c r="L97" i="5"/>
  <c r="L95" i="5"/>
  <c r="L93" i="5"/>
  <c r="L91" i="5"/>
  <c r="L89" i="5"/>
  <c r="L87" i="5"/>
  <c r="L85" i="5"/>
  <c r="L83" i="5"/>
  <c r="L81" i="5"/>
  <c r="L79" i="5"/>
  <c r="L77" i="5"/>
  <c r="L75" i="5"/>
  <c r="L73" i="5"/>
  <c r="L71" i="5"/>
  <c r="L69" i="5"/>
  <c r="L67" i="5"/>
  <c r="L41" i="5"/>
  <c r="L65" i="5"/>
  <c r="L52" i="5"/>
  <c r="L50" i="5"/>
  <c r="L48" i="5"/>
  <c r="L46" i="5"/>
  <c r="L44" i="5"/>
  <c r="L39" i="5"/>
  <c r="L102" i="5"/>
  <c r="L100" i="5"/>
  <c r="L98" i="5"/>
  <c r="L96" i="5"/>
  <c r="L94" i="5"/>
  <c r="L92" i="5"/>
  <c r="L90" i="5"/>
  <c r="L88" i="5"/>
  <c r="L86" i="5"/>
  <c r="L84" i="5"/>
  <c r="L82" i="5"/>
  <c r="L80" i="5"/>
  <c r="L78" i="5"/>
  <c r="L76" i="5"/>
  <c r="L74" i="5"/>
  <c r="L72" i="5"/>
  <c r="L70" i="5"/>
  <c r="L68" i="5"/>
  <c r="L63" i="5"/>
  <c r="L37" i="5"/>
  <c r="L16" i="5"/>
  <c r="L31" i="5"/>
  <c r="L29" i="5"/>
  <c r="L27" i="5"/>
  <c r="L25" i="5"/>
  <c r="L23" i="5"/>
  <c r="L14" i="5"/>
  <c r="L12" i="5"/>
  <c r="L62" i="5"/>
  <c r="L61" i="5"/>
  <c r="L60" i="5"/>
  <c r="L34" i="5"/>
  <c r="L6" i="5"/>
  <c r="L59" i="5"/>
  <c r="L36" i="5"/>
  <c r="L11" i="5"/>
  <c r="L2" i="5"/>
  <c r="L58" i="5"/>
  <c r="L57" i="5"/>
  <c r="L17" i="5"/>
  <c r="L56" i="5"/>
  <c r="L55" i="5"/>
  <c r="L54" i="5"/>
  <c r="L43" i="5"/>
  <c r="L32" i="5"/>
  <c r="L30" i="5"/>
  <c r="L28" i="5"/>
  <c r="L26" i="5"/>
  <c r="L24" i="5"/>
  <c r="L15" i="5"/>
  <c r="L13" i="5"/>
  <c r="L4" i="5"/>
  <c r="L53" i="5"/>
  <c r="L51" i="5"/>
  <c r="L49" i="5"/>
  <c r="L66" i="5"/>
  <c r="L42" i="5"/>
  <c r="L38" i="5"/>
  <c r="L5" i="5"/>
  <c r="L10" i="5"/>
  <c r="L3" i="5"/>
  <c r="L40" i="5"/>
  <c r="L18" i="5"/>
  <c r="L7" i="5"/>
  <c r="L20" i="5"/>
  <c r="L19" i="5"/>
  <c r="L22" i="5"/>
  <c r="L21" i="5"/>
  <c r="I17" i="2"/>
  <c r="L33" i="5"/>
  <c r="L9" i="5"/>
  <c r="L8" i="5"/>
  <c r="O8" i="5"/>
  <c r="O6" i="5"/>
  <c r="O18" i="5"/>
  <c r="O15" i="5"/>
  <c r="O13" i="5"/>
  <c r="O4" i="5"/>
  <c r="O5" i="5"/>
  <c r="O11" i="5"/>
  <c r="O16" i="5"/>
  <c r="O2" i="5"/>
  <c r="O17" i="5"/>
  <c r="O10" i="5"/>
  <c r="O14" i="5"/>
  <c r="O12" i="5"/>
  <c r="O3" i="5"/>
  <c r="O7" i="5"/>
  <c r="O9" i="5"/>
</calcChain>
</file>

<file path=xl/sharedStrings.xml><?xml version="1.0" encoding="utf-8"?>
<sst xmlns="http://schemas.openxmlformats.org/spreadsheetml/2006/main" count="134" uniqueCount="110">
  <si>
    <t xml:space="preserve">Name: </t>
  </si>
  <si>
    <t>Applied Force (lbs)</t>
  </si>
  <si>
    <t>First Dataset</t>
  </si>
  <si>
    <t>Second Dataset</t>
  </si>
  <si>
    <t>X Values</t>
  </si>
  <si>
    <t>Y Values</t>
  </si>
  <si>
    <t>Fit Equation:</t>
  </si>
  <si>
    <t>First Dataset Fit</t>
  </si>
  <si>
    <t>Value</t>
  </si>
  <si>
    <t>Uncertainty</t>
  </si>
  <si>
    <t>CD:</t>
  </si>
  <si>
    <t>Power for fixed power fit:</t>
  </si>
  <si>
    <t>Second Dataset Fit</t>
  </si>
  <si>
    <t>№</t>
  </si>
  <si>
    <t>Source</t>
  </si>
  <si>
    <t>Value (unit)</t>
  </si>
  <si>
    <t xml:space="preserve"> </t>
  </si>
  <si>
    <t>Name:</t>
  </si>
  <si>
    <t>Fit Type</t>
  </si>
  <si>
    <t>Fit Function</t>
  </si>
  <si>
    <t>Parameter</t>
  </si>
  <si>
    <t>Manual Estimate</t>
  </si>
  <si>
    <t xml:space="preserve">CD: </t>
  </si>
  <si>
    <t>A</t>
  </si>
  <si>
    <t>B</t>
  </si>
  <si>
    <t>Fit type</t>
  </si>
  <si>
    <t>x-values</t>
  </si>
  <si>
    <t>fit y-values</t>
  </si>
  <si>
    <t>DA x-values</t>
  </si>
  <si>
    <t>fit 1 y-values</t>
  </si>
  <si>
    <t>fit 2 y-values</t>
  </si>
  <si>
    <t>x-data</t>
  </si>
  <si>
    <t>y-data</t>
  </si>
  <si>
    <t>freeform y</t>
  </si>
  <si>
    <t>w/ duplicates</t>
  </si>
  <si>
    <t>de-duplicated</t>
  </si>
  <si>
    <t>DAx1data</t>
  </si>
  <si>
    <t>DAy1data</t>
  </si>
  <si>
    <t>DAx2data</t>
  </si>
  <si>
    <t>DAy2data</t>
  </si>
  <si>
    <t>DAx1</t>
  </si>
  <si>
    <t>DAx1 order</t>
  </si>
  <si>
    <t>DAy1 match</t>
  </si>
  <si>
    <t>Frform DAy1</t>
  </si>
  <si>
    <t>DAx2</t>
  </si>
  <si>
    <t>DAx2 order</t>
  </si>
  <si>
    <t>DAy2 match</t>
  </si>
  <si>
    <t>Frform DAy2</t>
  </si>
  <si>
    <t>m.f. x-plot</t>
  </si>
  <si>
    <t>m.f. fit y</t>
  </si>
  <si>
    <t>m.f. xData</t>
  </si>
  <si>
    <t>m.f. yData</t>
  </si>
  <si>
    <t>m.f. y fit</t>
  </si>
  <si>
    <t>m.f. sq res</t>
  </si>
  <si>
    <t>(y_i-y_av)^2</t>
  </si>
  <si>
    <t>Last row with x data</t>
  </si>
  <si>
    <t>Optimize?</t>
  </si>
  <si>
    <t>Last row with y data</t>
  </si>
  <si>
    <t>Last row with paired data</t>
  </si>
  <si>
    <t>First row with x data</t>
  </si>
  <si>
    <t>linear</t>
  </si>
  <si>
    <t>y=A+Bx</t>
  </si>
  <si>
    <t>First row with y data</t>
  </si>
  <si>
    <t>lorentzian</t>
  </si>
  <si>
    <t xml:space="preserve">y=A/(1+((x−B)/C)²) </t>
  </si>
  <si>
    <t>First row with paired data</t>
  </si>
  <si>
    <t>gaussian</t>
  </si>
  <si>
    <t>y=A exp(−((x−B)/C)²)</t>
  </si>
  <si>
    <t>sine</t>
  </si>
  <si>
    <t>y=A sin(Bx−C)+D</t>
  </si>
  <si>
    <t>Analysis fit parameters</t>
  </si>
  <si>
    <t>coeffs</t>
  </si>
  <si>
    <t>unc.</t>
  </si>
  <si>
    <t>stats</t>
  </si>
  <si>
    <t>guessed</t>
  </si>
  <si>
    <t>solved</t>
  </si>
  <si>
    <t>Fits available</t>
  </si>
  <si>
    <t>y=A</t>
  </si>
  <si>
    <t>y=A+Bx+Cx²</t>
  </si>
  <si>
    <t>y=Bx</t>
  </si>
  <si>
    <t>y=A+Bx+Cx²+Dx³</t>
  </si>
  <si>
    <t>y=Cx²</t>
  </si>
  <si>
    <t>y=Axᴮ</t>
  </si>
  <si>
    <t>y=Dx³</t>
  </si>
  <si>
    <t>y=Aeᴮˣ</t>
  </si>
  <si>
    <t>y=Ex⁴</t>
  </si>
  <si>
    <t>No fitting</t>
  </si>
  <si>
    <t>Double Fit Info</t>
  </si>
  <si>
    <t>Last row with x1 data</t>
  </si>
  <si>
    <t>Last row with y1 data</t>
  </si>
  <si>
    <t>Last row with paired 1st set data</t>
  </si>
  <si>
    <t>First row with x1 data</t>
  </si>
  <si>
    <t>First row with y1 data</t>
  </si>
  <si>
    <t>First row with paired 1st set data</t>
  </si>
  <si>
    <t>Last row with x2 data</t>
  </si>
  <si>
    <t>Last row with y2 data</t>
  </si>
  <si>
    <t>Last row with paired 2nd set data</t>
  </si>
  <si>
    <t>First row with x2 data</t>
  </si>
  <si>
    <t>First row with y2 data</t>
  </si>
  <si>
    <t>First row with paired 2nd set data</t>
  </si>
  <si>
    <t>fit for the first dataset</t>
  </si>
  <si>
    <t>fit for the second dataset</t>
  </si>
  <si>
    <t>Final row with data in x-data column (N)</t>
  </si>
  <si>
    <t>Manual fit info</t>
  </si>
  <si>
    <t>y Average:</t>
  </si>
  <si>
    <t>sum fit val</t>
  </si>
  <si>
    <t>RSS:</t>
  </si>
  <si>
    <t>SS:</t>
  </si>
  <si>
    <t>Strain gauge
Differential Voltage (mV)</t>
  </si>
  <si>
    <t>Differential amplified 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</si>
</sst>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0"/>
    <numFmt numFmtId="166" formatCode="0.000E+00"/>
    <numFmt numFmtId="167" formatCode="0.0"/>
    <numFmt numFmtId="168" formatCode="0E+00"/>
  </numFmts>
  <fonts count="12">
    <font>
      <sz val="12"/>
      <color theme="1"/>
      <name val="Calibri"/>
      <scheme val="minor"/>
    </font>
    <font>
      <sz val="18"/>
      <color theme="1"/>
      <name val="Calibri"/>
    </font>
    <font>
      <sz val="12"/>
      <color theme="1"/>
      <name val="Calibri"/>
    </font>
    <font>
      <sz val="11"/>
      <color rgb="FF000000"/>
      <name val="Calibri"/>
    </font>
    <font>
      <b/>
      <sz val="12"/>
      <color theme="1"/>
      <name val="Calibri"/>
    </font>
    <font>
      <sz val="12"/>
      <name val="Calibri"/>
    </font>
    <font>
      <sz val="20"/>
      <color theme="1"/>
      <name val="Calibri"/>
    </font>
    <font>
      <sz val="12"/>
      <color rgb="FF000000"/>
      <name val="Calibri"/>
    </font>
    <font>
      <sz val="16"/>
      <color theme="1"/>
      <name val="Calibri"/>
    </font>
    <font>
      <sz val="24"/>
      <color theme="1"/>
      <name val="Calibri"/>
    </font>
    <font>
      <sz val="12"/>
      <color theme="1"/>
      <name val="Calibri"/>
      <scheme val="minor"/>
    </font>
    <font>
      <sz val="12"/>
      <color theme="1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horizontal="center" wrapText="1"/>
    </xf>
    <xf numFmtId="0" fontId="2" fillId="0" borderId="0" xfId="0" applyFont="1"/>
    <xf numFmtId="2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165" fontId="2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2" fontId="2" fillId="0" borderId="0" xfId="0" applyNumberFormat="1" applyFont="1" applyAlignment="1">
      <alignment horizontal="right"/>
    </xf>
    <xf numFmtId="0" fontId="2" fillId="0" borderId="2" xfId="0" applyFont="1" applyBorder="1"/>
    <xf numFmtId="10" fontId="2" fillId="0" borderId="0" xfId="0" applyNumberFormat="1" applyFont="1"/>
    <xf numFmtId="166" fontId="2" fillId="0" borderId="2" xfId="0" applyNumberFormat="1" applyFont="1" applyBorder="1"/>
    <xf numFmtId="0" fontId="7" fillId="0" borderId="2" xfId="0" applyFont="1" applyBorder="1"/>
    <xf numFmtId="166" fontId="7" fillId="0" borderId="4" xfId="0" applyNumberFormat="1" applyFont="1" applyBorder="1"/>
    <xf numFmtId="0" fontId="8" fillId="0" borderId="0" xfId="0" applyFont="1" applyAlignment="1">
      <alignment horizontal="center" vertical="center"/>
    </xf>
    <xf numFmtId="49" fontId="9" fillId="0" borderId="0" xfId="0" applyNumberFormat="1" applyFont="1"/>
    <xf numFmtId="0" fontId="9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4" fillId="0" borderId="2" xfId="0" applyFont="1" applyBorder="1"/>
    <xf numFmtId="49" fontId="2" fillId="0" borderId="5" xfId="0" applyNumberFormat="1" applyFont="1" applyBorder="1"/>
    <xf numFmtId="167" fontId="2" fillId="0" borderId="2" xfId="0" applyNumberFormat="1" applyFont="1" applyBorder="1"/>
    <xf numFmtId="168" fontId="2" fillId="0" borderId="2" xfId="0" applyNumberFormat="1" applyFont="1" applyBorder="1"/>
    <xf numFmtId="0" fontId="10" fillId="0" borderId="0" xfId="0" applyFont="1"/>
    <xf numFmtId="0" fontId="1" fillId="0" borderId="0" xfId="0" applyFont="1" applyAlignment="1">
      <alignment horizontal="center"/>
    </xf>
    <xf numFmtId="1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left"/>
    </xf>
    <xf numFmtId="167" fontId="2" fillId="2" borderId="2" xfId="0" applyNumberFormat="1" applyFont="1" applyFill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167" fontId="2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1" fontId="3" fillId="0" borderId="2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/>
    </xf>
    <xf numFmtId="0" fontId="2" fillId="0" borderId="6" xfId="0" applyFont="1" applyBorder="1"/>
    <xf numFmtId="2" fontId="10" fillId="0" borderId="0" xfId="0" applyNumberFormat="1" applyFont="1"/>
    <xf numFmtId="165" fontId="10" fillId="0" borderId="0" xfId="0" applyNumberFormat="1" applyFont="1"/>
    <xf numFmtId="11" fontId="2" fillId="0" borderId="0" xfId="0" applyNumberFormat="1" applyFont="1"/>
    <xf numFmtId="0" fontId="2" fillId="3" borderId="7" xfId="0" applyFont="1" applyFill="1" applyBorder="1"/>
    <xf numFmtId="0" fontId="11" fillId="0" borderId="0" xfId="0" applyFont="1"/>
    <xf numFmtId="164" fontId="2" fillId="0" borderId="0" xfId="0" applyNumberFormat="1" applyFont="1" applyAlignment="1">
      <alignment horizontal="center" vertical="center"/>
    </xf>
    <xf numFmtId="0" fontId="0" fillId="0" borderId="0" xfId="0"/>
    <xf numFmtId="164" fontId="1" fillId="0" borderId="3" xfId="0" applyNumberFormat="1" applyFont="1" applyBorder="1" applyAlignment="1">
      <alignment horizontal="center" vertical="center" shrinkToFit="1"/>
    </xf>
    <xf numFmtId="0" fontId="5" fillId="0" borderId="3" xfId="0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5" xfId="0" applyNumberFormat="1" applyFont="1" applyBorder="1" applyAlignment="1">
      <alignment horizontal="center"/>
    </xf>
    <xf numFmtId="0" fontId="5" fillId="0" borderId="4" xfId="0" applyFont="1" applyBorder="1"/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CA"/>
              <a:t>Applied</a:t>
            </a:r>
            <a:r>
              <a:rPr lang="en-CA" baseline="0"/>
              <a:t> force vs non-amplified differential signal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Guts!$N$2:$N$102</c:f>
              <c:numCache>
                <c:formatCode>General</c:formatCode>
                <c:ptCount val="101"/>
                <c:pt idx="0">
                  <c:v>0</c:v>
                </c:pt>
                <c:pt idx="1">
                  <c:v>1E-13</c:v>
                </c:pt>
                <c:pt idx="2">
                  <c:v>1000</c:v>
                </c:pt>
                <c:pt idx="3">
                  <c:v>1000.0000000000001</c:v>
                </c:pt>
                <c:pt idx="4">
                  <c:v>2000</c:v>
                </c:pt>
                <c:pt idx="5">
                  <c:v>2000</c:v>
                </c:pt>
                <c:pt idx="6">
                  <c:v>3000</c:v>
                </c:pt>
                <c:pt idx="7">
                  <c:v>3000</c:v>
                </c:pt>
                <c:pt idx="8">
                  <c:v>4000</c:v>
                </c:pt>
                <c:pt idx="9">
                  <c:v>4000</c:v>
                </c:pt>
                <c:pt idx="10">
                  <c:v>5000</c:v>
                </c:pt>
                <c:pt idx="11">
                  <c:v>5000</c:v>
                </c:pt>
                <c:pt idx="12">
                  <c:v>6000</c:v>
                </c:pt>
                <c:pt idx="13">
                  <c:v>6000</c:v>
                </c:pt>
                <c:pt idx="14">
                  <c:v>7000</c:v>
                </c:pt>
                <c:pt idx="15">
                  <c:v>7000</c:v>
                </c:pt>
                <c:pt idx="16">
                  <c:v>8000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</c:numCache>
            </c:numRef>
          </c:xVal>
          <c:yVal>
            <c:numRef>
              <c:f>Guts!$O$2:$O$102</c:f>
              <c:numCache>
                <c:formatCode>0.00000000</c:formatCode>
                <c:ptCount val="101"/>
                <c:pt idx="0">
                  <c:v>0.7</c:v>
                </c:pt>
                <c:pt idx="1">
                  <c:v>0</c:v>
                </c:pt>
                <c:pt idx="2">
                  <c:v>5.22</c:v>
                </c:pt>
                <c:pt idx="3">
                  <c:v>4.18</c:v>
                </c:pt>
                <c:pt idx="4">
                  <c:v>7.74</c:v>
                </c:pt>
                <c:pt idx="5">
                  <c:v>7.74</c:v>
                </c:pt>
                <c:pt idx="6">
                  <c:v>11.36</c:v>
                </c:pt>
                <c:pt idx="7">
                  <c:v>11.36</c:v>
                </c:pt>
                <c:pt idx="8">
                  <c:v>15.08</c:v>
                </c:pt>
                <c:pt idx="9">
                  <c:v>15.08</c:v>
                </c:pt>
                <c:pt idx="10">
                  <c:v>18.72</c:v>
                </c:pt>
                <c:pt idx="11">
                  <c:v>18.72</c:v>
                </c:pt>
                <c:pt idx="12">
                  <c:v>22.36</c:v>
                </c:pt>
                <c:pt idx="13">
                  <c:v>22.36</c:v>
                </c:pt>
                <c:pt idx="14">
                  <c:v>26.12</c:v>
                </c:pt>
                <c:pt idx="15">
                  <c:v>26.12</c:v>
                </c:pt>
                <c:pt idx="16">
                  <c:v>30.01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 formatCode="General">
                  <c:v>#N/A</c:v>
                </c:pt>
                <c:pt idx="20" formatCode="General">
                  <c:v>#N/A</c:v>
                </c:pt>
                <c:pt idx="21" formatCode="General">
                  <c:v>#N/A</c:v>
                </c:pt>
                <c:pt idx="22" formatCode="General">
                  <c:v>#N/A</c:v>
                </c:pt>
                <c:pt idx="23" formatCode="General">
                  <c:v>#N/A</c:v>
                </c:pt>
                <c:pt idx="24" formatCode="General">
                  <c:v>#N/A</c:v>
                </c:pt>
                <c:pt idx="25" formatCode="General">
                  <c:v>#N/A</c:v>
                </c:pt>
                <c:pt idx="26" formatCode="General">
                  <c:v>#N/A</c:v>
                </c:pt>
                <c:pt idx="27" formatCode="General">
                  <c:v>#N/A</c:v>
                </c:pt>
                <c:pt idx="28" formatCode="General">
                  <c:v>#N/A</c:v>
                </c:pt>
                <c:pt idx="29" formatCode="General">
                  <c:v>#N/A</c:v>
                </c:pt>
                <c:pt idx="30" formatCode="General">
                  <c:v>#N/A</c:v>
                </c:pt>
                <c:pt idx="31" formatCode="General">
                  <c:v>#N/A</c:v>
                </c:pt>
                <c:pt idx="32" formatCode="General">
                  <c:v>#N/A</c:v>
                </c:pt>
                <c:pt idx="33" formatCode="General">
                  <c:v>#N/A</c:v>
                </c:pt>
                <c:pt idx="34" formatCode="General">
                  <c:v>#N/A</c:v>
                </c:pt>
                <c:pt idx="35" formatCode="General">
                  <c:v>#N/A</c:v>
                </c:pt>
                <c:pt idx="36" formatCode="General">
                  <c:v>#N/A</c:v>
                </c:pt>
                <c:pt idx="37" formatCode="General">
                  <c:v>#N/A</c:v>
                </c:pt>
                <c:pt idx="38" formatCode="General">
                  <c:v>#N/A</c:v>
                </c:pt>
                <c:pt idx="39" formatCode="General">
                  <c:v>#N/A</c:v>
                </c:pt>
                <c:pt idx="40" formatCode="General">
                  <c:v>#N/A</c:v>
                </c:pt>
                <c:pt idx="41" formatCode="General">
                  <c:v>#N/A</c:v>
                </c:pt>
                <c:pt idx="42" formatCode="General">
                  <c:v>#N/A</c:v>
                </c:pt>
                <c:pt idx="43" formatCode="General">
                  <c:v>#N/A</c:v>
                </c:pt>
                <c:pt idx="44" formatCode="General">
                  <c:v>#N/A</c:v>
                </c:pt>
                <c:pt idx="45" formatCode="General">
                  <c:v>#N/A</c:v>
                </c:pt>
                <c:pt idx="46" formatCode="General">
                  <c:v>#N/A</c:v>
                </c:pt>
                <c:pt idx="47" formatCode="General">
                  <c:v>#N/A</c:v>
                </c:pt>
                <c:pt idx="48" formatCode="General">
                  <c:v>#N/A</c:v>
                </c:pt>
                <c:pt idx="49" formatCode="General">
                  <c:v>#N/A</c:v>
                </c:pt>
                <c:pt idx="50" formatCode="General">
                  <c:v>#N/A</c:v>
                </c:pt>
                <c:pt idx="51" formatCode="General">
                  <c:v>#N/A</c:v>
                </c:pt>
                <c:pt idx="52" formatCode="General">
                  <c:v>#N/A</c:v>
                </c:pt>
                <c:pt idx="53" formatCode="General">
                  <c:v>#N/A</c:v>
                </c:pt>
                <c:pt idx="54" formatCode="General">
                  <c:v>#N/A</c:v>
                </c:pt>
                <c:pt idx="55" formatCode="General">
                  <c:v>#N/A</c:v>
                </c:pt>
                <c:pt idx="56" formatCode="General">
                  <c:v>#N/A</c:v>
                </c:pt>
                <c:pt idx="57" formatCode="General">
                  <c:v>#N/A</c:v>
                </c:pt>
                <c:pt idx="58" formatCode="General">
                  <c:v>#N/A</c:v>
                </c:pt>
                <c:pt idx="59" formatCode="General">
                  <c:v>#N/A</c:v>
                </c:pt>
                <c:pt idx="60" formatCode="General">
                  <c:v>#N/A</c:v>
                </c:pt>
                <c:pt idx="61" formatCode="General">
                  <c:v>#N/A</c:v>
                </c:pt>
                <c:pt idx="62" formatCode="General">
                  <c:v>#N/A</c:v>
                </c:pt>
                <c:pt idx="63" formatCode="General">
                  <c:v>#N/A</c:v>
                </c:pt>
                <c:pt idx="64" formatCode="General">
                  <c:v>#N/A</c:v>
                </c:pt>
                <c:pt idx="65" formatCode="General">
                  <c:v>#N/A</c:v>
                </c:pt>
                <c:pt idx="66" formatCode="General">
                  <c:v>#N/A</c:v>
                </c:pt>
                <c:pt idx="67" formatCode="General">
                  <c:v>#N/A</c:v>
                </c:pt>
                <c:pt idx="68" formatCode="General">
                  <c:v>#N/A</c:v>
                </c:pt>
                <c:pt idx="69" formatCode="General">
                  <c:v>#N/A</c:v>
                </c:pt>
                <c:pt idx="70" formatCode="General">
                  <c:v>#N/A</c:v>
                </c:pt>
                <c:pt idx="71" formatCode="General">
                  <c:v>#N/A</c:v>
                </c:pt>
                <c:pt idx="72" formatCode="General">
                  <c:v>#N/A</c:v>
                </c:pt>
                <c:pt idx="73" formatCode="General">
                  <c:v>#N/A</c:v>
                </c:pt>
                <c:pt idx="74" formatCode="General">
                  <c:v>#N/A</c:v>
                </c:pt>
                <c:pt idx="75" formatCode="General">
                  <c:v>#N/A</c:v>
                </c:pt>
                <c:pt idx="76" formatCode="General">
                  <c:v>#N/A</c:v>
                </c:pt>
                <c:pt idx="77" formatCode="General">
                  <c:v>#N/A</c:v>
                </c:pt>
                <c:pt idx="78" formatCode="General">
                  <c:v>#N/A</c:v>
                </c:pt>
                <c:pt idx="79" formatCode="General">
                  <c:v>#N/A</c:v>
                </c:pt>
                <c:pt idx="80" formatCode="General">
                  <c:v>#N/A</c:v>
                </c:pt>
                <c:pt idx="81" formatCode="General">
                  <c:v>#N/A</c:v>
                </c:pt>
                <c:pt idx="82" formatCode="General">
                  <c:v>#N/A</c:v>
                </c:pt>
                <c:pt idx="83" formatCode="General">
                  <c:v>#N/A</c:v>
                </c:pt>
                <c:pt idx="84" formatCode="General">
                  <c:v>#N/A</c:v>
                </c:pt>
                <c:pt idx="85" formatCode="General">
                  <c:v>#N/A</c:v>
                </c:pt>
                <c:pt idx="86" formatCode="General">
                  <c:v>#N/A</c:v>
                </c:pt>
                <c:pt idx="87" formatCode="General">
                  <c:v>#N/A</c:v>
                </c:pt>
                <c:pt idx="88" formatCode="General">
                  <c:v>#N/A</c:v>
                </c:pt>
                <c:pt idx="89" formatCode="General">
                  <c:v>#N/A</c:v>
                </c:pt>
                <c:pt idx="90" formatCode="General">
                  <c:v>#N/A</c:v>
                </c:pt>
                <c:pt idx="91" formatCode="General">
                  <c:v>#N/A</c:v>
                </c:pt>
                <c:pt idx="92" formatCode="General">
                  <c:v>#N/A</c:v>
                </c:pt>
                <c:pt idx="93" formatCode="General">
                  <c:v>#N/A</c:v>
                </c:pt>
                <c:pt idx="94" formatCode="General">
                  <c:v>#N/A</c:v>
                </c:pt>
                <c:pt idx="95" formatCode="General">
                  <c:v>#N/A</c:v>
                </c:pt>
                <c:pt idx="96" formatCode="General">
                  <c:v>#N/A</c:v>
                </c:pt>
                <c:pt idx="97" formatCode="General">
                  <c:v>#N/A</c:v>
                </c:pt>
                <c:pt idx="98" formatCode="General">
                  <c:v>#N/A</c:v>
                </c:pt>
                <c:pt idx="99" formatCode="General">
                  <c:v>#N/A</c:v>
                </c:pt>
                <c:pt idx="100" formatCode="General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FE-4759-841A-DD514111F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081459"/>
        <c:axId val="1432697257"/>
      </c:scatterChart>
      <c:valAx>
        <c:axId val="20480814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0">
                    <a:solidFill>
                      <a:srgbClr val="000000"/>
                    </a:solidFill>
                    <a:latin typeface="+mn-lt"/>
                  </a:rPr>
                  <a:t>Applied Force (lbs)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2697257"/>
        <c:crosses val="autoZero"/>
        <c:crossBetween val="midCat"/>
      </c:valAx>
      <c:valAx>
        <c:axId val="1432697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0">
                    <a:solidFill>
                      <a:srgbClr val="000000"/>
                    </a:solidFill>
                    <a:latin typeface="+mn-lt"/>
                  </a:rPr>
                  <a:t>Differential Voltage (mV)</a:t>
                </a:r>
              </a:p>
            </c:rich>
          </c:tx>
          <c:overlay val="0"/>
        </c:title>
        <c:numFmt formatCode="0.0000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808145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 sz="1800" b="1" i="0" u="none" strike="noStrike" kern="1200" baseline="0">
                <a:solidFill>
                  <a:srgbClr val="000000"/>
                </a:solidFill>
              </a:rPr>
              <a:t>Applied force vs non-amplified differential signal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[1]Guts!$N$2:$N$102</c:f>
              <c:numCache>
                <c:formatCode>General</c:formatCode>
                <c:ptCount val="101"/>
                <c:pt idx="0">
                  <c:v>0</c:v>
                </c:pt>
                <c:pt idx="1">
                  <c:v>1000</c:v>
                </c:pt>
                <c:pt idx="2">
                  <c:v>1000.0000000000001</c:v>
                </c:pt>
                <c:pt idx="3">
                  <c:v>2000</c:v>
                </c:pt>
                <c:pt idx="4">
                  <c:v>2000</c:v>
                </c:pt>
                <c:pt idx="5">
                  <c:v>3000</c:v>
                </c:pt>
                <c:pt idx="6">
                  <c:v>3000</c:v>
                </c:pt>
                <c:pt idx="7">
                  <c:v>4000</c:v>
                </c:pt>
                <c:pt idx="8">
                  <c:v>4000</c:v>
                </c:pt>
                <c:pt idx="9">
                  <c:v>5000</c:v>
                </c:pt>
                <c:pt idx="10">
                  <c:v>5000</c:v>
                </c:pt>
                <c:pt idx="11">
                  <c:v>6000</c:v>
                </c:pt>
                <c:pt idx="12">
                  <c:v>6000</c:v>
                </c:pt>
                <c:pt idx="13">
                  <c:v>7000</c:v>
                </c:pt>
                <c:pt idx="14">
                  <c:v>7000</c:v>
                </c:pt>
                <c:pt idx="15">
                  <c:v>8000</c:v>
                </c:pt>
                <c:pt idx="16">
                  <c:v>8000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</c:numCache>
            </c:numRef>
          </c:xVal>
          <c:yVal>
            <c:numRef>
              <c:f>[1]Guts!$O$2:$O$102</c:f>
              <c:numCache>
                <c:formatCode>General</c:formatCode>
                <c:ptCount val="101"/>
                <c:pt idx="0">
                  <c:v>1.42</c:v>
                </c:pt>
                <c:pt idx="1">
                  <c:v>1.56</c:v>
                </c:pt>
                <c:pt idx="2">
                  <c:v>1.52</c:v>
                </c:pt>
                <c:pt idx="3">
                  <c:v>1.68</c:v>
                </c:pt>
                <c:pt idx="4">
                  <c:v>1.68</c:v>
                </c:pt>
                <c:pt idx="5">
                  <c:v>1.84</c:v>
                </c:pt>
                <c:pt idx="6">
                  <c:v>1.84</c:v>
                </c:pt>
                <c:pt idx="7">
                  <c:v>2</c:v>
                </c:pt>
                <c:pt idx="8">
                  <c:v>2</c:v>
                </c:pt>
                <c:pt idx="9">
                  <c:v>2.16</c:v>
                </c:pt>
                <c:pt idx="10">
                  <c:v>2.16</c:v>
                </c:pt>
                <c:pt idx="11">
                  <c:v>2.3199999999999998</c:v>
                </c:pt>
                <c:pt idx="12">
                  <c:v>2.3199999999999998</c:v>
                </c:pt>
                <c:pt idx="13">
                  <c:v>2.4900000000000002</c:v>
                </c:pt>
                <c:pt idx="14">
                  <c:v>2.4900000000000002</c:v>
                </c:pt>
                <c:pt idx="15">
                  <c:v>2.63</c:v>
                </c:pt>
                <c:pt idx="16">
                  <c:v>2.63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7D-49DB-BAC1-12625FD2E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081459"/>
        <c:axId val="1432697257"/>
      </c:scatterChart>
      <c:valAx>
        <c:axId val="20480814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b="0">
                    <a:solidFill>
                      <a:srgbClr val="000000"/>
                    </a:solidFill>
                    <a:latin typeface="+mn-lt"/>
                  </a:rPr>
                  <a:t>Applied Force (lbs)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2697257"/>
        <c:crosses val="autoZero"/>
        <c:crossBetween val="midCat"/>
      </c:valAx>
      <c:valAx>
        <c:axId val="1432697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CA" sz="1000" b="0" i="0" u="none" strike="noStrike" baseline="0">
                    <a:effectLst/>
                  </a:rPr>
                  <a:t>Differential amplified Voltage (V) </a:t>
                </a:r>
                <a:endParaRPr lang="en-CA" b="0">
                  <a:solidFill>
                    <a:srgbClr val="000000"/>
                  </a:solidFill>
                  <a:latin typeface="+mn-lt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808145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757575"/>
                </a:solidFill>
                <a:latin typeface="+mn-lt"/>
              </a:defRPr>
            </a:pPr>
            <a:r>
              <a:rPr sz="2000" b="1" i="0">
                <a:solidFill>
                  <a:srgbClr val="757575"/>
                </a:solidFill>
                <a:latin typeface="+mn-lt"/>
              </a:rPr>
              <a:t>Insert Graph Title Here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06999408016601"/>
          <c:y val="0.12836716580947613"/>
          <c:w val="0.81779412981623056"/>
          <c:h val="0.7221291702699012"/>
        </c:manualLayout>
      </c:layou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65719728"/>
        <c:axId val="1380710087"/>
      </c:scatterChart>
      <c:valAx>
        <c:axId val="17657197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0710087"/>
        <c:crosses val="autoZero"/>
        <c:crossBetween val="midCat"/>
      </c:valAx>
      <c:valAx>
        <c:axId val="138071008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7657197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7305198877493488"/>
          <c:y val="0.17904956053091231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Insert Title Here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9641"/>
        <c:axId val="283466710"/>
      </c:lineChart>
      <c:catAx>
        <c:axId val="19319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5400000"/>
          <a:lstStyle/>
          <a:p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3466710"/>
        <c:crosses val="autoZero"/>
        <c:auto val="1"/>
        <c:lblAlgn val="ctr"/>
        <c:lblOffset val="100"/>
        <c:noMultiLvlLbl val="1"/>
      </c:catAx>
      <c:valAx>
        <c:axId val="28346671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31964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+mn-lt"/>
              </a:defRPr>
            </a:pPr>
            <a:r>
              <a:rPr sz="2000" b="0" i="0">
                <a:solidFill>
                  <a:srgbClr val="757575"/>
                </a:solidFill>
                <a:latin typeface="+mn-lt"/>
              </a:rPr>
              <a:t>Insert Graph Title Here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98807583"/>
        <c:axId val="1641641051"/>
      </c:scatterChart>
      <c:valAx>
        <c:axId val="18988075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1641051"/>
        <c:crosses val="autoZero"/>
        <c:crossBetween val="midCat"/>
      </c:valAx>
      <c:valAx>
        <c:axId val="164164105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8988075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57150</xdr:rowOff>
    </xdr:from>
    <xdr:ext cx="10277475" cy="4086225"/>
    <xdr:graphicFrame macro="">
      <xdr:nvGraphicFramePr>
        <xdr:cNvPr id="2063019718" name="Chart 1">
          <a:extLst>
            <a:ext uri="{FF2B5EF4-FFF2-40B4-BE49-F238E27FC236}">
              <a16:creationId xmlns:a16="http://schemas.microsoft.com/office/drawing/2014/main" id="{00000000-0008-0000-0000-0000C62EF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190500</xdr:colOff>
      <xdr:row>20</xdr:row>
      <xdr:rowOff>171450</xdr:rowOff>
    </xdr:from>
    <xdr:ext cx="10220325" cy="57816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A695A-6F5A-4F87-A555-7382E4BDAD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18</xdr:row>
      <xdr:rowOff>190500</xdr:rowOff>
    </xdr:from>
    <xdr:ext cx="8896350" cy="4124325"/>
    <xdr:graphicFrame macro="">
      <xdr:nvGraphicFramePr>
        <xdr:cNvPr id="928382258" name="Chart 2">
          <a:extLst>
            <a:ext uri="{FF2B5EF4-FFF2-40B4-BE49-F238E27FC236}">
              <a16:creationId xmlns:a16="http://schemas.microsoft.com/office/drawing/2014/main" id="{00000000-0008-0000-0100-000032FD5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9</xdr:row>
      <xdr:rowOff>180975</xdr:rowOff>
    </xdr:from>
    <xdr:ext cx="3714750" cy="2933700"/>
    <xdr:graphicFrame macro="">
      <xdr:nvGraphicFramePr>
        <xdr:cNvPr id="855472921" name="Chart 3">
          <a:extLst>
            <a:ext uri="{FF2B5EF4-FFF2-40B4-BE49-F238E27FC236}">
              <a16:creationId xmlns:a16="http://schemas.microsoft.com/office/drawing/2014/main" id="{00000000-0008-0000-0200-0000197BF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428625</xdr:colOff>
      <xdr:row>1</xdr:row>
      <xdr:rowOff>104775</xdr:rowOff>
    </xdr:from>
    <xdr:ext cx="8601075" cy="3790950"/>
    <xdr:graphicFrame macro="">
      <xdr:nvGraphicFramePr>
        <xdr:cNvPr id="2031457852" name="Chart 4">
          <a:extLst>
            <a:ext uri="{FF2B5EF4-FFF2-40B4-BE49-F238E27FC236}">
              <a16:creationId xmlns:a16="http://schemas.microsoft.com/office/drawing/2014/main" id="{00000000-0008-0000-0300-00003C961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rry\Downloads\2026-01-21_strain_5v_DVoltage.xlsx" TargetMode="External"/><Relationship Id="rId1" Type="http://schemas.openxmlformats.org/officeDocument/2006/relationships/externalLinkPath" Target="/Users/Parry/Downloads/2026-01-21_strain_5v_DVol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sis"/>
      <sheetName val="Double Analysis"/>
      <sheetName val="Comparison"/>
      <sheetName val="Manual Fitting"/>
      <sheetName val="Gu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N2">
            <v>0</v>
          </cell>
          <cell r="O2">
            <v>1.42</v>
          </cell>
        </row>
        <row r="3">
          <cell r="N3">
            <v>1000</v>
          </cell>
          <cell r="O3">
            <v>1.56</v>
          </cell>
        </row>
        <row r="4">
          <cell r="N4">
            <v>1000.0000000000001</v>
          </cell>
          <cell r="O4">
            <v>1.52</v>
          </cell>
        </row>
        <row r="5">
          <cell r="N5">
            <v>2000</v>
          </cell>
          <cell r="O5">
            <v>1.68</v>
          </cell>
        </row>
        <row r="6">
          <cell r="N6">
            <v>2000</v>
          </cell>
          <cell r="O6">
            <v>1.68</v>
          </cell>
        </row>
        <row r="7">
          <cell r="N7">
            <v>3000</v>
          </cell>
          <cell r="O7">
            <v>1.84</v>
          </cell>
        </row>
        <row r="8">
          <cell r="N8">
            <v>3000</v>
          </cell>
          <cell r="O8">
            <v>1.84</v>
          </cell>
        </row>
        <row r="9">
          <cell r="N9">
            <v>4000</v>
          </cell>
          <cell r="O9">
            <v>2</v>
          </cell>
        </row>
        <row r="10">
          <cell r="N10">
            <v>4000</v>
          </cell>
          <cell r="O10">
            <v>2</v>
          </cell>
        </row>
        <row r="11">
          <cell r="N11">
            <v>5000</v>
          </cell>
          <cell r="O11">
            <v>2.16</v>
          </cell>
        </row>
        <row r="12">
          <cell r="N12">
            <v>5000</v>
          </cell>
          <cell r="O12">
            <v>2.16</v>
          </cell>
        </row>
        <row r="13">
          <cell r="N13">
            <v>6000</v>
          </cell>
          <cell r="O13">
            <v>2.3199999999999998</v>
          </cell>
        </row>
        <row r="14">
          <cell r="N14">
            <v>6000</v>
          </cell>
          <cell r="O14">
            <v>2.3199999999999998</v>
          </cell>
        </row>
        <row r="15">
          <cell r="N15">
            <v>7000</v>
          </cell>
          <cell r="O15">
            <v>2.4900000000000002</v>
          </cell>
        </row>
        <row r="16">
          <cell r="N16">
            <v>7000</v>
          </cell>
          <cell r="O16">
            <v>2.4900000000000002</v>
          </cell>
        </row>
        <row r="17">
          <cell r="N17">
            <v>8000</v>
          </cell>
          <cell r="O17">
            <v>2.63</v>
          </cell>
        </row>
        <row r="18">
          <cell r="N18">
            <v>8000</v>
          </cell>
          <cell r="O18">
            <v>2.63</v>
          </cell>
        </row>
        <row r="19">
          <cell r="N19" t="e">
            <v>#N/A</v>
          </cell>
          <cell r="O19" t="e">
            <v>#N/A</v>
          </cell>
        </row>
        <row r="20">
          <cell r="N20" t="e">
            <v>#N/A</v>
          </cell>
          <cell r="O20" t="e">
            <v>#N/A</v>
          </cell>
        </row>
        <row r="21">
          <cell r="N21" t="e">
            <v>#N/A</v>
          </cell>
          <cell r="O21" t="e">
            <v>#N/A</v>
          </cell>
        </row>
        <row r="22">
          <cell r="N22" t="e">
            <v>#N/A</v>
          </cell>
          <cell r="O22" t="e">
            <v>#N/A</v>
          </cell>
        </row>
        <row r="23">
          <cell r="N23" t="e">
            <v>#N/A</v>
          </cell>
          <cell r="O23" t="e">
            <v>#N/A</v>
          </cell>
        </row>
        <row r="24">
          <cell r="N24" t="e">
            <v>#N/A</v>
          </cell>
          <cell r="O24" t="e">
            <v>#N/A</v>
          </cell>
        </row>
        <row r="25">
          <cell r="N25" t="e">
            <v>#N/A</v>
          </cell>
          <cell r="O25" t="e">
            <v>#N/A</v>
          </cell>
        </row>
        <row r="26">
          <cell r="N26" t="e">
            <v>#N/A</v>
          </cell>
          <cell r="O26" t="e">
            <v>#N/A</v>
          </cell>
        </row>
        <row r="27">
          <cell r="N27" t="e">
            <v>#N/A</v>
          </cell>
          <cell r="O27" t="e">
            <v>#N/A</v>
          </cell>
        </row>
        <row r="28">
          <cell r="N28" t="e">
            <v>#N/A</v>
          </cell>
          <cell r="O28" t="e">
            <v>#N/A</v>
          </cell>
        </row>
        <row r="29">
          <cell r="N29" t="e">
            <v>#N/A</v>
          </cell>
          <cell r="O29" t="e">
            <v>#N/A</v>
          </cell>
        </row>
        <row r="30">
          <cell r="N30" t="e">
            <v>#N/A</v>
          </cell>
          <cell r="O30" t="e">
            <v>#N/A</v>
          </cell>
        </row>
        <row r="31">
          <cell r="N31" t="e">
            <v>#N/A</v>
          </cell>
          <cell r="O31" t="e">
            <v>#N/A</v>
          </cell>
        </row>
        <row r="32">
          <cell r="N32" t="e">
            <v>#N/A</v>
          </cell>
          <cell r="O32" t="e">
            <v>#N/A</v>
          </cell>
        </row>
        <row r="33">
          <cell r="N33" t="e">
            <v>#N/A</v>
          </cell>
          <cell r="O33" t="e">
            <v>#N/A</v>
          </cell>
        </row>
        <row r="34">
          <cell r="N34" t="e">
            <v>#N/A</v>
          </cell>
          <cell r="O34" t="e">
            <v>#N/A</v>
          </cell>
        </row>
        <row r="35">
          <cell r="N35" t="e">
            <v>#N/A</v>
          </cell>
          <cell r="O35" t="e">
            <v>#N/A</v>
          </cell>
        </row>
        <row r="36">
          <cell r="N36" t="e">
            <v>#N/A</v>
          </cell>
          <cell r="O36" t="e">
            <v>#N/A</v>
          </cell>
        </row>
        <row r="37">
          <cell r="N37" t="e">
            <v>#N/A</v>
          </cell>
          <cell r="O37" t="e">
            <v>#N/A</v>
          </cell>
        </row>
        <row r="38">
          <cell r="N38" t="e">
            <v>#N/A</v>
          </cell>
          <cell r="O38" t="e">
            <v>#N/A</v>
          </cell>
        </row>
        <row r="39">
          <cell r="N39" t="e">
            <v>#N/A</v>
          </cell>
          <cell r="O39" t="e">
            <v>#N/A</v>
          </cell>
        </row>
        <row r="40">
          <cell r="N40" t="e">
            <v>#N/A</v>
          </cell>
          <cell r="O40" t="e">
            <v>#N/A</v>
          </cell>
        </row>
        <row r="41">
          <cell r="N41" t="e">
            <v>#N/A</v>
          </cell>
          <cell r="O41" t="e">
            <v>#N/A</v>
          </cell>
        </row>
        <row r="42">
          <cell r="N42" t="e">
            <v>#N/A</v>
          </cell>
          <cell r="O42" t="e">
            <v>#N/A</v>
          </cell>
        </row>
        <row r="43">
          <cell r="N43" t="e">
            <v>#N/A</v>
          </cell>
          <cell r="O43" t="e">
            <v>#N/A</v>
          </cell>
        </row>
        <row r="44">
          <cell r="N44" t="e">
            <v>#N/A</v>
          </cell>
          <cell r="O44" t="e">
            <v>#N/A</v>
          </cell>
        </row>
        <row r="45">
          <cell r="N45" t="e">
            <v>#N/A</v>
          </cell>
          <cell r="O45" t="e">
            <v>#N/A</v>
          </cell>
        </row>
        <row r="46">
          <cell r="N46" t="e">
            <v>#N/A</v>
          </cell>
          <cell r="O46" t="e">
            <v>#N/A</v>
          </cell>
        </row>
        <row r="47">
          <cell r="N47" t="e">
            <v>#N/A</v>
          </cell>
          <cell r="O47" t="e">
            <v>#N/A</v>
          </cell>
        </row>
        <row r="48">
          <cell r="N48" t="e">
            <v>#N/A</v>
          </cell>
          <cell r="O48" t="e">
            <v>#N/A</v>
          </cell>
        </row>
        <row r="49">
          <cell r="N49" t="e">
            <v>#N/A</v>
          </cell>
          <cell r="O49" t="e">
            <v>#N/A</v>
          </cell>
        </row>
        <row r="50">
          <cell r="N50" t="e">
            <v>#N/A</v>
          </cell>
          <cell r="O50" t="e">
            <v>#N/A</v>
          </cell>
        </row>
        <row r="51">
          <cell r="N51" t="e">
            <v>#N/A</v>
          </cell>
          <cell r="O51" t="e">
            <v>#N/A</v>
          </cell>
        </row>
        <row r="52">
          <cell r="N52" t="e">
            <v>#N/A</v>
          </cell>
          <cell r="O52" t="e">
            <v>#N/A</v>
          </cell>
        </row>
        <row r="53">
          <cell r="N53" t="e">
            <v>#N/A</v>
          </cell>
          <cell r="O53" t="e">
            <v>#N/A</v>
          </cell>
        </row>
        <row r="54">
          <cell r="N54" t="e">
            <v>#N/A</v>
          </cell>
          <cell r="O54" t="e">
            <v>#N/A</v>
          </cell>
        </row>
        <row r="55">
          <cell r="N55" t="e">
            <v>#N/A</v>
          </cell>
          <cell r="O55" t="e">
            <v>#N/A</v>
          </cell>
        </row>
        <row r="56">
          <cell r="N56" t="e">
            <v>#N/A</v>
          </cell>
          <cell r="O56" t="e">
            <v>#N/A</v>
          </cell>
        </row>
        <row r="57">
          <cell r="N57" t="e">
            <v>#N/A</v>
          </cell>
          <cell r="O57" t="e">
            <v>#N/A</v>
          </cell>
        </row>
        <row r="58">
          <cell r="N58" t="e">
            <v>#N/A</v>
          </cell>
          <cell r="O58" t="e">
            <v>#N/A</v>
          </cell>
        </row>
        <row r="59">
          <cell r="N59" t="e">
            <v>#N/A</v>
          </cell>
          <cell r="O59" t="e">
            <v>#N/A</v>
          </cell>
        </row>
        <row r="60">
          <cell r="N60" t="e">
            <v>#N/A</v>
          </cell>
          <cell r="O60" t="e">
            <v>#N/A</v>
          </cell>
        </row>
        <row r="61">
          <cell r="N61" t="e">
            <v>#N/A</v>
          </cell>
          <cell r="O61" t="e">
            <v>#N/A</v>
          </cell>
        </row>
        <row r="62">
          <cell r="N62" t="e">
            <v>#N/A</v>
          </cell>
          <cell r="O62" t="e">
            <v>#N/A</v>
          </cell>
        </row>
        <row r="63">
          <cell r="N63" t="e">
            <v>#N/A</v>
          </cell>
          <cell r="O63" t="e">
            <v>#N/A</v>
          </cell>
        </row>
        <row r="64">
          <cell r="N64" t="e">
            <v>#N/A</v>
          </cell>
          <cell r="O64" t="e">
            <v>#N/A</v>
          </cell>
        </row>
        <row r="65">
          <cell r="N65" t="e">
            <v>#N/A</v>
          </cell>
          <cell r="O65" t="e">
            <v>#N/A</v>
          </cell>
        </row>
        <row r="66">
          <cell r="N66" t="e">
            <v>#N/A</v>
          </cell>
          <cell r="O66" t="e">
            <v>#N/A</v>
          </cell>
        </row>
        <row r="67">
          <cell r="N67" t="e">
            <v>#N/A</v>
          </cell>
          <cell r="O67" t="e">
            <v>#N/A</v>
          </cell>
        </row>
        <row r="68">
          <cell r="N68" t="e">
            <v>#N/A</v>
          </cell>
          <cell r="O68" t="e">
            <v>#N/A</v>
          </cell>
        </row>
        <row r="69">
          <cell r="N69" t="e">
            <v>#N/A</v>
          </cell>
          <cell r="O69" t="e">
            <v>#N/A</v>
          </cell>
        </row>
        <row r="70">
          <cell r="N70" t="e">
            <v>#N/A</v>
          </cell>
          <cell r="O70" t="e">
            <v>#N/A</v>
          </cell>
        </row>
        <row r="71">
          <cell r="N71" t="e">
            <v>#N/A</v>
          </cell>
          <cell r="O71" t="e">
            <v>#N/A</v>
          </cell>
        </row>
        <row r="72">
          <cell r="N72" t="e">
            <v>#N/A</v>
          </cell>
          <cell r="O72" t="e">
            <v>#N/A</v>
          </cell>
        </row>
        <row r="73">
          <cell r="N73" t="e">
            <v>#N/A</v>
          </cell>
          <cell r="O73" t="e">
            <v>#N/A</v>
          </cell>
        </row>
        <row r="74">
          <cell r="N74" t="e">
            <v>#N/A</v>
          </cell>
          <cell r="O74" t="e">
            <v>#N/A</v>
          </cell>
        </row>
        <row r="75">
          <cell r="N75" t="e">
            <v>#N/A</v>
          </cell>
          <cell r="O75" t="e">
            <v>#N/A</v>
          </cell>
        </row>
        <row r="76">
          <cell r="N76" t="e">
            <v>#N/A</v>
          </cell>
          <cell r="O76" t="e">
            <v>#N/A</v>
          </cell>
        </row>
        <row r="77">
          <cell r="N77" t="e">
            <v>#N/A</v>
          </cell>
          <cell r="O77" t="e">
            <v>#N/A</v>
          </cell>
        </row>
        <row r="78">
          <cell r="N78" t="e">
            <v>#N/A</v>
          </cell>
          <cell r="O78" t="e">
            <v>#N/A</v>
          </cell>
        </row>
        <row r="79">
          <cell r="N79" t="e">
            <v>#N/A</v>
          </cell>
          <cell r="O79" t="e">
            <v>#N/A</v>
          </cell>
        </row>
        <row r="80">
          <cell r="N80" t="e">
            <v>#N/A</v>
          </cell>
          <cell r="O80" t="e">
            <v>#N/A</v>
          </cell>
        </row>
        <row r="81">
          <cell r="N81" t="e">
            <v>#N/A</v>
          </cell>
          <cell r="O81" t="e">
            <v>#N/A</v>
          </cell>
        </row>
        <row r="82">
          <cell r="N82" t="e">
            <v>#N/A</v>
          </cell>
          <cell r="O82" t="e">
            <v>#N/A</v>
          </cell>
        </row>
        <row r="83">
          <cell r="N83" t="e">
            <v>#N/A</v>
          </cell>
          <cell r="O83" t="e">
            <v>#N/A</v>
          </cell>
        </row>
        <row r="84">
          <cell r="N84" t="e">
            <v>#N/A</v>
          </cell>
          <cell r="O84" t="e">
            <v>#N/A</v>
          </cell>
        </row>
        <row r="85">
          <cell r="N85" t="e">
            <v>#N/A</v>
          </cell>
          <cell r="O85" t="e">
            <v>#N/A</v>
          </cell>
        </row>
        <row r="86">
          <cell r="N86" t="e">
            <v>#N/A</v>
          </cell>
          <cell r="O86" t="e">
            <v>#N/A</v>
          </cell>
        </row>
        <row r="87">
          <cell r="N87" t="e">
            <v>#N/A</v>
          </cell>
          <cell r="O87" t="e">
            <v>#N/A</v>
          </cell>
        </row>
        <row r="88">
          <cell r="N88" t="e">
            <v>#N/A</v>
          </cell>
          <cell r="O88" t="e">
            <v>#N/A</v>
          </cell>
        </row>
        <row r="89">
          <cell r="N89" t="e">
            <v>#N/A</v>
          </cell>
          <cell r="O89" t="e">
            <v>#N/A</v>
          </cell>
        </row>
        <row r="90">
          <cell r="N90" t="e">
            <v>#N/A</v>
          </cell>
          <cell r="O90" t="e">
            <v>#N/A</v>
          </cell>
        </row>
        <row r="91">
          <cell r="N91" t="e">
            <v>#N/A</v>
          </cell>
          <cell r="O91" t="e">
            <v>#N/A</v>
          </cell>
        </row>
        <row r="92">
          <cell r="N92" t="e">
            <v>#N/A</v>
          </cell>
          <cell r="O92" t="e">
            <v>#N/A</v>
          </cell>
        </row>
        <row r="93">
          <cell r="N93" t="e">
            <v>#N/A</v>
          </cell>
          <cell r="O93" t="e">
            <v>#N/A</v>
          </cell>
        </row>
        <row r="94">
          <cell r="N94" t="e">
            <v>#N/A</v>
          </cell>
          <cell r="O94" t="e">
            <v>#N/A</v>
          </cell>
        </row>
        <row r="95">
          <cell r="N95" t="e">
            <v>#N/A</v>
          </cell>
          <cell r="O95" t="e">
            <v>#N/A</v>
          </cell>
        </row>
        <row r="96">
          <cell r="N96" t="e">
            <v>#N/A</v>
          </cell>
          <cell r="O96" t="e">
            <v>#N/A</v>
          </cell>
        </row>
        <row r="97">
          <cell r="N97" t="e">
            <v>#N/A</v>
          </cell>
          <cell r="O97" t="e">
            <v>#N/A</v>
          </cell>
        </row>
        <row r="98">
          <cell r="N98" t="e">
            <v>#N/A</v>
          </cell>
          <cell r="O98" t="e">
            <v>#N/A</v>
          </cell>
        </row>
        <row r="99">
          <cell r="N99" t="e">
            <v>#N/A</v>
          </cell>
          <cell r="O99" t="e">
            <v>#N/A</v>
          </cell>
        </row>
        <row r="100">
          <cell r="N100" t="e">
            <v>#N/A</v>
          </cell>
          <cell r="O100" t="e">
            <v>#N/A</v>
          </cell>
        </row>
        <row r="101">
          <cell r="N101" t="e">
            <v>#N/A</v>
          </cell>
          <cell r="O101" t="e">
            <v>#N/A</v>
          </cell>
        </row>
        <row r="102">
          <cell r="N102" t="e">
            <v>#N/A</v>
          </cell>
          <cell r="O102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abSelected="1" topLeftCell="A18" workbookViewId="0">
      <selection activeCell="A22" sqref="A22:M48"/>
    </sheetView>
  </sheetViews>
  <sheetFormatPr defaultColWidth="11.25" defaultRowHeight="15" customHeight="1"/>
  <cols>
    <col min="1" max="1" width="10.625" customWidth="1"/>
    <col min="2" max="2" width="16.375" customWidth="1"/>
    <col min="3" max="5" width="11" customWidth="1"/>
    <col min="6" max="6" width="14.375" customWidth="1"/>
    <col min="7" max="7" width="14" customWidth="1"/>
    <col min="8" max="8" width="21" customWidth="1"/>
    <col min="9" max="9" width="18" customWidth="1"/>
    <col min="10" max="26" width="11" customWidth="1"/>
  </cols>
  <sheetData>
    <row r="1" spans="1:26" ht="47.25">
      <c r="A1" s="5" t="s">
        <v>1</v>
      </c>
      <c r="B1" s="5" t="s">
        <v>108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>
      <c r="A2" s="7">
        <v>0</v>
      </c>
      <c r="B2" s="8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>
      <c r="A3" s="7">
        <v>1000</v>
      </c>
      <c r="B3" s="8">
        <v>4.18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>
      <c r="A4" s="7">
        <v>2000</v>
      </c>
      <c r="B4" s="8">
        <v>7.74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>
      <c r="A5" s="7">
        <v>3000</v>
      </c>
      <c r="B5" s="8">
        <v>11.36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>
      <c r="A6" s="7">
        <v>4000</v>
      </c>
      <c r="B6" s="8">
        <v>15.08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>
      <c r="A7" s="7">
        <v>5000</v>
      </c>
      <c r="B7" s="8">
        <v>18.72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>
      <c r="A8" s="7">
        <v>6000</v>
      </c>
      <c r="B8" s="8">
        <v>22.36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>
      <c r="A9" s="7">
        <v>7000</v>
      </c>
      <c r="B9" s="8">
        <v>26.12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>
      <c r="A10" s="7">
        <v>8000</v>
      </c>
      <c r="B10" s="8">
        <v>30.01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>
      <c r="A11" s="7">
        <v>7000</v>
      </c>
      <c r="B11" s="8">
        <v>27.13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>
      <c r="A12" s="9">
        <v>6000</v>
      </c>
      <c r="B12" s="10">
        <v>23.12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>
      <c r="A13" s="9">
        <v>5000</v>
      </c>
      <c r="B13" s="10">
        <v>20.059999999999999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>
      <c r="A14" s="9">
        <v>4000</v>
      </c>
      <c r="B14" s="10">
        <v>16.57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>
      <c r="A15" s="9">
        <v>3000</v>
      </c>
      <c r="B15" s="10">
        <v>12.94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>
      <c r="A16" s="9">
        <v>2000</v>
      </c>
      <c r="B16" s="10">
        <v>9.49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>
      <c r="A17" s="9">
        <v>1000</v>
      </c>
      <c r="B17" s="10">
        <v>5.22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>
      <c r="A18" s="9">
        <v>0</v>
      </c>
      <c r="B18" s="11">
        <v>0.7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>
      <c r="A19" s="9"/>
      <c r="B19" s="10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6" ht="15.7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6" ht="47.25">
      <c r="A22" s="5" t="s">
        <v>1</v>
      </c>
      <c r="B22" s="5" t="s">
        <v>109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26" ht="15.75">
      <c r="A23" s="7">
        <v>0</v>
      </c>
      <c r="B23" s="8">
        <v>1.42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26" ht="15.75">
      <c r="A24" s="7">
        <v>1000</v>
      </c>
      <c r="B24" s="8">
        <v>1.52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26" ht="15.75">
      <c r="A25" s="7">
        <v>2000</v>
      </c>
      <c r="B25" s="8">
        <v>1.68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26" ht="15.75">
      <c r="A26" s="7">
        <v>3000</v>
      </c>
      <c r="B26" s="8">
        <v>1.84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26" ht="15.75">
      <c r="A27" s="7">
        <v>4000</v>
      </c>
      <c r="B27" s="8">
        <v>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26" ht="15.75">
      <c r="A28" s="7">
        <v>5000</v>
      </c>
      <c r="B28" s="8">
        <v>2.16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26" ht="15.75">
      <c r="A29" s="7">
        <v>6000</v>
      </c>
      <c r="B29" s="8">
        <v>2.3199999999999998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26" ht="15.75">
      <c r="A30" s="7">
        <v>7000</v>
      </c>
      <c r="B30" s="8">
        <v>2.4900000000000002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26" ht="15.75">
      <c r="A31" s="7">
        <v>8000</v>
      </c>
      <c r="B31" s="8">
        <v>2.63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26" ht="15.75">
      <c r="A32" s="7">
        <v>8000</v>
      </c>
      <c r="B32" s="8">
        <v>2.64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26" ht="15.75">
      <c r="A33" s="7">
        <v>7000</v>
      </c>
      <c r="B33" s="8">
        <v>2.56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26" ht="15.75">
      <c r="A34" s="9">
        <v>6000</v>
      </c>
      <c r="B34" s="10">
        <v>2.35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>
      <c r="A35" s="9">
        <v>5000</v>
      </c>
      <c r="B35" s="10">
        <v>2.2200000000000002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>
      <c r="A36" s="9">
        <v>4000</v>
      </c>
      <c r="B36" s="10">
        <v>2.04</v>
      </c>
      <c r="C36" s="6"/>
      <c r="D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>
      <c r="A37" s="9">
        <v>3000</v>
      </c>
      <c r="B37" s="10">
        <v>1.9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>
      <c r="A38" s="9">
        <v>2000</v>
      </c>
      <c r="B38" s="10">
        <v>1.74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>
      <c r="A39" s="9">
        <v>1000</v>
      </c>
      <c r="B39" s="10">
        <v>1.56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>
      <c r="A40" s="9">
        <v>0</v>
      </c>
      <c r="B40" s="11">
        <v>1.42</v>
      </c>
      <c r="C40" s="6"/>
      <c r="D40" s="6"/>
      <c r="E40" s="6"/>
      <c r="F40" s="6"/>
      <c r="G40" s="12"/>
      <c r="H40" s="12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>
      <c r="A41" s="12"/>
      <c r="B41" s="13"/>
      <c r="C41" s="6"/>
      <c r="D41" s="6"/>
      <c r="E41" s="6"/>
      <c r="F41" s="6"/>
      <c r="G41" s="12"/>
      <c r="H41" s="1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>
      <c r="A42" s="12"/>
      <c r="B42" s="13"/>
      <c r="C42" s="6"/>
      <c r="D42" s="6"/>
      <c r="E42" s="6"/>
      <c r="F42" s="6"/>
      <c r="G42" s="12"/>
      <c r="H42" s="1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>
      <c r="A43" s="12"/>
      <c r="B43" s="13"/>
      <c r="C43" s="6"/>
      <c r="D43" s="6"/>
      <c r="E43" s="6"/>
      <c r="F43" s="6"/>
      <c r="G43" s="12"/>
      <c r="H43" s="1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>
      <c r="A44" s="12"/>
      <c r="B44" s="13"/>
      <c r="C44" s="6"/>
      <c r="D44" s="6"/>
      <c r="E44" s="6"/>
      <c r="F44" s="6"/>
      <c r="G44" s="12"/>
      <c r="H44" s="1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>
      <c r="A45" s="12"/>
      <c r="B45" s="13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>
      <c r="A46" s="12"/>
      <c r="B46" s="13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>
      <c r="A47" s="12"/>
      <c r="B47" s="13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>
      <c r="A48" s="12"/>
      <c r="B48" s="13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>
      <c r="A49" s="12"/>
      <c r="B49" s="13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>
      <c r="A50" s="12"/>
      <c r="B50" s="13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>
      <c r="A51" s="12"/>
      <c r="B51" s="13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>
      <c r="A52" s="12"/>
      <c r="B52" s="13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>
      <c r="A53" s="12"/>
      <c r="B53" s="13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>
      <c r="A54" s="12"/>
      <c r="B54" s="13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>
      <c r="A55" s="12"/>
      <c r="B55" s="13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>
      <c r="A56" s="12"/>
      <c r="B56" s="13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>
      <c r="A57" s="12"/>
      <c r="B57" s="13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>
      <c r="A58" s="12"/>
      <c r="B58" s="13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>
      <c r="A59" s="12"/>
      <c r="B59" s="13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>
      <c r="A60" s="12"/>
      <c r="B60" s="13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>
      <c r="A61" s="12"/>
      <c r="B61" s="13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>
      <c r="A62" s="12"/>
      <c r="B62" s="13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>
      <c r="A63" s="12"/>
      <c r="B63" s="13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>
      <c r="A64" s="12"/>
      <c r="B64" s="13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>
      <c r="A65" s="12"/>
      <c r="B65" s="13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>
      <c r="A66" s="12"/>
      <c r="B66" s="13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>
      <c r="A67" s="12"/>
      <c r="B67" s="13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>
      <c r="A68" s="12"/>
      <c r="B68" s="13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>
      <c r="A69" s="12"/>
      <c r="B69" s="13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>
      <c r="A70" s="12"/>
      <c r="B70" s="13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>
      <c r="A71" s="12"/>
      <c r="B71" s="13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>
      <c r="A72" s="12"/>
      <c r="B72" s="13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>
      <c r="A73" s="12"/>
      <c r="B73" s="13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>
      <c r="A74" s="12"/>
      <c r="B74" s="13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>
      <c r="A75" s="12"/>
      <c r="B75" s="13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>
      <c r="A76" s="12"/>
      <c r="B76" s="13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>
      <c r="A77" s="12"/>
      <c r="B77" s="13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>
      <c r="A78" s="12"/>
      <c r="B78" s="13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>
      <c r="A79" s="12"/>
      <c r="B79" s="13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>
      <c r="A80" s="12"/>
      <c r="B80" s="13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>
      <c r="A81" s="12"/>
      <c r="B81" s="1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>
      <c r="A82" s="12"/>
      <c r="B82" s="13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>
      <c r="A83" s="12"/>
      <c r="B83" s="13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>
      <c r="A84" s="12"/>
      <c r="B84" s="13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>
      <c r="A85" s="12"/>
      <c r="B85" s="13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>
      <c r="A86" s="12"/>
      <c r="B86" s="13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>
      <c r="A87" s="12"/>
      <c r="B87" s="13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>
      <c r="A88" s="12"/>
      <c r="B88" s="1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>
      <c r="A89" s="12"/>
      <c r="B89" s="13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>
      <c r="A90" s="12"/>
      <c r="B90" s="13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>
      <c r="A91" s="12"/>
      <c r="B91" s="13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>
      <c r="A92" s="12"/>
      <c r="B92" s="13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>
      <c r="A93" s="12"/>
      <c r="B93" s="13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>
      <c r="A94" s="12"/>
      <c r="B94" s="13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>
      <c r="A95" s="12"/>
      <c r="B95" s="13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>
      <c r="A96" s="12"/>
      <c r="B96" s="13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>
      <c r="A97" s="12"/>
      <c r="B97" s="13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>
      <c r="A98" s="12"/>
      <c r="B98" s="13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>
      <c r="A99" s="12"/>
      <c r="B99" s="13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>
      <c r="A100" s="12"/>
      <c r="B100" s="13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>
      <c r="A101" s="12"/>
      <c r="B101" s="13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>
      <c r="A102" s="12"/>
      <c r="B102" s="13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>
      <c r="A103" s="12"/>
      <c r="B103" s="13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>
      <c r="A104" s="12"/>
      <c r="B104" s="13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>
      <c r="A105" s="12"/>
      <c r="B105" s="13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>
      <c r="A106" s="12"/>
      <c r="B106" s="13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>
      <c r="A107" s="12"/>
      <c r="B107" s="13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>
      <c r="A108" s="12"/>
      <c r="B108" s="13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>
      <c r="A109" s="12"/>
      <c r="B109" s="13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>
      <c r="A110" s="12"/>
      <c r="B110" s="13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>
      <c r="A111" s="12"/>
      <c r="B111" s="13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>
      <c r="A112" s="12"/>
      <c r="B112" s="13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>
      <c r="A113" s="12"/>
      <c r="B113" s="13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>
      <c r="A114" s="12"/>
      <c r="B114" s="13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>
      <c r="A115" s="12"/>
      <c r="B115" s="13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>
      <c r="A116" s="12"/>
      <c r="B116" s="13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>
      <c r="A117" s="12"/>
      <c r="B117" s="13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>
      <c r="A118" s="12"/>
      <c r="B118" s="13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>
      <c r="A119" s="12"/>
      <c r="B119" s="13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>
      <c r="A120" s="12"/>
      <c r="B120" s="13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>
      <c r="A121" s="12"/>
      <c r="B121" s="13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>
      <c r="A122" s="12"/>
      <c r="B122" s="13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>
      <c r="A123" s="12"/>
      <c r="B123" s="13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>
      <c r="A124" s="12"/>
      <c r="B124" s="13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>
      <c r="A125" s="12"/>
      <c r="B125" s="13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>
      <c r="A126" s="12"/>
      <c r="B126" s="13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>
      <c r="A127" s="12"/>
      <c r="B127" s="13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>
      <c r="A128" s="12"/>
      <c r="B128" s="13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>
      <c r="A129" s="12"/>
      <c r="B129" s="13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>
      <c r="A130" s="12"/>
      <c r="B130" s="13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>
      <c r="A131" s="12"/>
      <c r="B131" s="13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>
      <c r="A132" s="12"/>
      <c r="B132" s="13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>
      <c r="A133" s="12"/>
      <c r="B133" s="13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>
      <c r="A134" s="12"/>
      <c r="B134" s="13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>
      <c r="A135" s="12"/>
      <c r="B135" s="13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>
      <c r="A136" s="12"/>
      <c r="B136" s="13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>
      <c r="A137" s="12"/>
      <c r="B137" s="13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>
      <c r="A138" s="12"/>
      <c r="B138" s="13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>
      <c r="A139" s="12"/>
      <c r="B139" s="13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>
      <c r="A140" s="12"/>
      <c r="B140" s="13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>
      <c r="A141" s="12"/>
      <c r="B141" s="13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>
      <c r="A142" s="12"/>
      <c r="B142" s="13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>
      <c r="A143" s="12"/>
      <c r="B143" s="13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>
      <c r="A144" s="12"/>
      <c r="B144" s="13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>
      <c r="A145" s="12"/>
      <c r="B145" s="13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>
      <c r="A146" s="12"/>
      <c r="B146" s="13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>
      <c r="A147" s="12"/>
      <c r="B147" s="13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>
      <c r="A148" s="12"/>
      <c r="B148" s="13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>
      <c r="A149" s="12"/>
      <c r="B149" s="13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>
      <c r="A150" s="12"/>
      <c r="B150" s="13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>
      <c r="A151" s="12"/>
      <c r="B151" s="13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>
      <c r="A152" s="12"/>
      <c r="B152" s="13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>
      <c r="A153" s="12"/>
      <c r="B153" s="13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>
      <c r="A154" s="12"/>
      <c r="B154" s="13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>
      <c r="A155" s="12"/>
      <c r="B155" s="13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>
      <c r="A156" s="12"/>
      <c r="B156" s="13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>
      <c r="A157" s="12"/>
      <c r="B157" s="13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>
      <c r="A158" s="12"/>
      <c r="B158" s="13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>
      <c r="A159" s="12"/>
      <c r="B159" s="13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>
      <c r="A160" s="12"/>
      <c r="B160" s="13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>
      <c r="A161" s="12"/>
      <c r="B161" s="13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>
      <c r="A162" s="12"/>
      <c r="B162" s="13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>
      <c r="A163" s="12"/>
      <c r="B163" s="13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>
      <c r="A164" s="12"/>
      <c r="B164" s="13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>
      <c r="A165" s="12"/>
      <c r="B165" s="13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>
      <c r="A166" s="12"/>
      <c r="B166" s="13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>
      <c r="A167" s="12"/>
      <c r="B167" s="13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>
      <c r="A168" s="12"/>
      <c r="B168" s="13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>
      <c r="A169" s="12"/>
      <c r="B169" s="13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>
      <c r="A170" s="12"/>
      <c r="B170" s="13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>
      <c r="A171" s="12"/>
      <c r="B171" s="13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>
      <c r="A172" s="12"/>
      <c r="B172" s="13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>
      <c r="A173" s="12"/>
      <c r="B173" s="13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>
      <c r="A174" s="12"/>
      <c r="B174" s="13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>
      <c r="A175" s="12"/>
      <c r="B175" s="13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>
      <c r="A176" s="12"/>
      <c r="B176" s="13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>
      <c r="A177" s="12"/>
      <c r="B177" s="13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>
      <c r="A178" s="12"/>
      <c r="B178" s="13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>
      <c r="A179" s="12"/>
      <c r="B179" s="13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>
      <c r="A180" s="12"/>
      <c r="B180" s="13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>
      <c r="A181" s="12"/>
      <c r="B181" s="13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>
      <c r="A182" s="12"/>
      <c r="B182" s="13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>
      <c r="A183" s="12"/>
      <c r="B183" s="13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>
      <c r="A184" s="12"/>
      <c r="B184" s="13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>
      <c r="A185" s="12"/>
      <c r="B185" s="13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>
      <c r="A186" s="12"/>
      <c r="B186" s="13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>
      <c r="A187" s="12"/>
      <c r="B187" s="13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>
      <c r="A188" s="12"/>
      <c r="B188" s="13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>
      <c r="A189" s="12"/>
      <c r="B189" s="13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>
      <c r="A190" s="12"/>
      <c r="B190" s="13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>
      <c r="A191" s="12"/>
      <c r="B191" s="13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>
      <c r="A192" s="12"/>
      <c r="B192" s="13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>
      <c r="A193" s="12"/>
      <c r="B193" s="13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>
      <c r="A194" s="12"/>
      <c r="B194" s="13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>
      <c r="A195" s="12"/>
      <c r="B195" s="13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>
      <c r="A196" s="12"/>
      <c r="B196" s="13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>
      <c r="A197" s="12"/>
      <c r="B197" s="13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>
      <c r="A198" s="12"/>
      <c r="B198" s="13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>
      <c r="A199" s="12"/>
      <c r="B199" s="13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>
      <c r="A200" s="12"/>
      <c r="B200" s="13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>
      <c r="A201" s="12"/>
      <c r="B201" s="13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>
      <c r="A202" s="12"/>
      <c r="B202" s="13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>
      <c r="A203" s="12"/>
      <c r="B203" s="13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>
      <c r="A204" s="12"/>
      <c r="B204" s="13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>
      <c r="A205" s="12"/>
      <c r="B205" s="13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>
      <c r="A206" s="12"/>
      <c r="B206" s="13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>
      <c r="A207" s="12"/>
      <c r="B207" s="13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>
      <c r="A208" s="12"/>
      <c r="B208" s="13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>
      <c r="A209" s="12"/>
      <c r="B209" s="13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>
      <c r="A210" s="12"/>
      <c r="B210" s="13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>
      <c r="A211" s="12"/>
      <c r="B211" s="13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>
      <c r="A212" s="12"/>
      <c r="B212" s="13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>
      <c r="A213" s="12"/>
      <c r="B213" s="13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>
      <c r="A214" s="12"/>
      <c r="B214" s="13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>
      <c r="A215" s="12"/>
      <c r="B215" s="13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>
      <c r="A216" s="12"/>
      <c r="B216" s="13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>
      <c r="A217" s="12"/>
      <c r="B217" s="13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>
      <c r="A218" s="12"/>
      <c r="B218" s="13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>
      <c r="A219" s="12"/>
      <c r="B219" s="13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>
      <c r="A220" s="12"/>
      <c r="B220" s="13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>
      <c r="A221" s="12"/>
      <c r="B221" s="13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>
      <c r="A222" s="12"/>
      <c r="B222" s="13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>
      <c r="A223" s="12"/>
      <c r="B223" s="13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>
      <c r="A224" s="12"/>
      <c r="B224" s="13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>
      <c r="A225" s="12"/>
      <c r="B225" s="13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>
      <c r="A226" s="12"/>
      <c r="B226" s="13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>
      <c r="A227" s="12"/>
      <c r="B227" s="13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>
      <c r="A228" s="12"/>
      <c r="B228" s="13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>
      <c r="A229" s="12"/>
      <c r="B229" s="13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>
      <c r="A230" s="12"/>
      <c r="B230" s="13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>
      <c r="A231" s="12"/>
      <c r="B231" s="13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>
      <c r="A232" s="12"/>
      <c r="B232" s="13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>
      <c r="A233" s="12"/>
      <c r="B233" s="13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>
      <c r="A234" s="12"/>
      <c r="B234" s="13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>
      <c r="A235" s="12"/>
      <c r="B235" s="13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>
      <c r="A236" s="12"/>
      <c r="B236" s="13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>
      <c r="A237" s="12"/>
      <c r="B237" s="13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>
      <c r="A238" s="12"/>
      <c r="B238" s="13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>
      <c r="A239" s="12"/>
      <c r="B239" s="13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>
      <c r="A240" s="12"/>
      <c r="B240" s="13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>
      <c r="A241" s="12"/>
      <c r="B241" s="13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>
      <c r="A242" s="12"/>
      <c r="B242" s="13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>
      <c r="A243" s="12"/>
      <c r="B243" s="13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>
      <c r="A244" s="12"/>
      <c r="B244" s="13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>
      <c r="A245" s="12"/>
      <c r="B245" s="13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>
      <c r="A246" s="12"/>
      <c r="B246" s="13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>
      <c r="A247" s="12"/>
      <c r="B247" s="13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>
      <c r="A248" s="12"/>
      <c r="B248" s="13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>
      <c r="A249" s="12"/>
      <c r="B249" s="13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>
      <c r="A250" s="12"/>
      <c r="B250" s="13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>
      <c r="A251" s="12"/>
      <c r="B251" s="13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>
      <c r="A252" s="12"/>
      <c r="B252" s="13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>
      <c r="A253" s="12"/>
      <c r="B253" s="13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>
      <c r="A254" s="12"/>
      <c r="B254" s="13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>
      <c r="A255" s="12"/>
      <c r="B255" s="13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>
      <c r="A256" s="12"/>
      <c r="B256" s="13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>
      <c r="A257" s="12"/>
      <c r="B257" s="13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>
      <c r="A258" s="12"/>
      <c r="B258" s="13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>
      <c r="A259" s="12"/>
      <c r="B259" s="13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>
      <c r="A260" s="12"/>
      <c r="B260" s="13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>
      <c r="A261" s="12"/>
      <c r="B261" s="13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>
      <c r="A262" s="12"/>
      <c r="B262" s="13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>
      <c r="A263" s="12"/>
      <c r="B263" s="13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>
      <c r="A264" s="12"/>
      <c r="B264" s="13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>
      <c r="A265" s="12"/>
      <c r="B265" s="13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>
      <c r="A266" s="12"/>
      <c r="B266" s="13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>
      <c r="A267" s="12"/>
      <c r="B267" s="13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>
      <c r="A268" s="12"/>
      <c r="B268" s="13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>
      <c r="A269" s="12"/>
      <c r="B269" s="13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>
      <c r="A270" s="12"/>
      <c r="B270" s="13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>
      <c r="A271" s="12"/>
      <c r="B271" s="13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>
      <c r="A272" s="12"/>
      <c r="B272" s="13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>
      <c r="A273" s="12"/>
      <c r="B273" s="13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>
      <c r="A274" s="12"/>
      <c r="B274" s="13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>
      <c r="A275" s="12"/>
      <c r="B275" s="13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>
      <c r="A276" s="12"/>
      <c r="B276" s="13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>
      <c r="A277" s="12"/>
      <c r="B277" s="13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>
      <c r="A278" s="12"/>
      <c r="B278" s="13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>
      <c r="A279" s="12"/>
      <c r="B279" s="13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>
      <c r="A280" s="12"/>
      <c r="B280" s="13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>
      <c r="A281" s="12"/>
      <c r="B281" s="13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>
      <c r="A282" s="12"/>
      <c r="B282" s="13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>
      <c r="A283" s="12"/>
      <c r="B283" s="13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>
      <c r="A284" s="12"/>
      <c r="B284" s="13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>
      <c r="A285" s="12"/>
      <c r="B285" s="13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>
      <c r="A286" s="12"/>
      <c r="B286" s="13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>
      <c r="A287" s="12"/>
      <c r="B287" s="13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>
      <c r="A288" s="12"/>
      <c r="B288" s="13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>
      <c r="A289" s="12"/>
      <c r="B289" s="13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>
      <c r="A290" s="12"/>
      <c r="B290" s="13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>
      <c r="A291" s="12"/>
      <c r="B291" s="13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>
      <c r="A292" s="12"/>
      <c r="B292" s="13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>
      <c r="A293" s="12"/>
      <c r="B293" s="13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>
      <c r="A294" s="12"/>
      <c r="B294" s="13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>
      <c r="A295" s="12"/>
      <c r="B295" s="13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>
      <c r="A296" s="12"/>
      <c r="B296" s="13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>
      <c r="A297" s="12"/>
      <c r="B297" s="13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>
      <c r="A298" s="12"/>
      <c r="B298" s="13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>
      <c r="A299" s="12"/>
      <c r="B299" s="13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>
      <c r="A300" s="12"/>
      <c r="B300" s="13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>
      <c r="A301" s="12"/>
      <c r="B301" s="13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>
      <c r="A302" s="12"/>
      <c r="B302" s="13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>
      <c r="A303" s="12"/>
      <c r="B303" s="13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>
      <c r="A304" s="12"/>
      <c r="B304" s="13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>
      <c r="A305" s="12"/>
      <c r="B305" s="13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>
      <c r="A306" s="12"/>
      <c r="B306" s="13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>
      <c r="A307" s="12"/>
      <c r="B307" s="13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>
      <c r="A308" s="12"/>
      <c r="B308" s="13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>
      <c r="A309" s="12"/>
      <c r="B309" s="13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>
      <c r="A310" s="12"/>
      <c r="B310" s="13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>
      <c r="A311" s="12"/>
      <c r="B311" s="13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>
      <c r="A312" s="12"/>
      <c r="B312" s="13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>
      <c r="A313" s="12"/>
      <c r="B313" s="13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>
      <c r="A314" s="12"/>
      <c r="B314" s="13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>
      <c r="A315" s="12"/>
      <c r="B315" s="13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>
      <c r="A316" s="12"/>
      <c r="B316" s="13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>
      <c r="A317" s="12"/>
      <c r="B317" s="13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>
      <c r="A318" s="12"/>
      <c r="B318" s="13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>
      <c r="A319" s="12"/>
      <c r="B319" s="13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>
      <c r="A320" s="12"/>
      <c r="B320" s="13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>
      <c r="A321" s="12"/>
      <c r="B321" s="13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>
      <c r="A322" s="12"/>
      <c r="B322" s="13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>
      <c r="A323" s="12"/>
      <c r="B323" s="13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>
      <c r="A324" s="12"/>
      <c r="B324" s="13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>
      <c r="A325" s="12"/>
      <c r="B325" s="13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>
      <c r="A326" s="12"/>
      <c r="B326" s="13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>
      <c r="A327" s="12"/>
      <c r="B327" s="13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>
      <c r="A328" s="12"/>
      <c r="B328" s="13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>
      <c r="A329" s="12"/>
      <c r="B329" s="13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>
      <c r="A330" s="12"/>
      <c r="B330" s="13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>
      <c r="A331" s="12"/>
      <c r="B331" s="13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>
      <c r="A332" s="12"/>
      <c r="B332" s="13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>
      <c r="A333" s="12"/>
      <c r="B333" s="13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>
      <c r="A334" s="12"/>
      <c r="B334" s="13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>
      <c r="A335" s="12"/>
      <c r="B335" s="13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>
      <c r="A336" s="12"/>
      <c r="B336" s="13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>
      <c r="A337" s="12"/>
      <c r="B337" s="13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>
      <c r="A338" s="12"/>
      <c r="B338" s="13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>
      <c r="A339" s="12"/>
      <c r="B339" s="13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>
      <c r="A340" s="12"/>
      <c r="B340" s="13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>
      <c r="A341" s="12"/>
      <c r="B341" s="13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>
      <c r="A342" s="12"/>
      <c r="B342" s="13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>
      <c r="A343" s="12"/>
      <c r="B343" s="13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>
      <c r="A344" s="12"/>
      <c r="B344" s="13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>
      <c r="A345" s="12"/>
      <c r="B345" s="13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>
      <c r="A346" s="12"/>
      <c r="B346" s="13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>
      <c r="A347" s="12"/>
      <c r="B347" s="13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>
      <c r="A348" s="12"/>
      <c r="B348" s="13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>
      <c r="A349" s="12"/>
      <c r="B349" s="13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>
      <c r="A350" s="12"/>
      <c r="B350" s="13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>
      <c r="A351" s="12"/>
      <c r="B351" s="13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>
      <c r="A352" s="12"/>
      <c r="B352" s="13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>
      <c r="A353" s="12"/>
      <c r="B353" s="13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>
      <c r="A354" s="12"/>
      <c r="B354" s="13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>
      <c r="A355" s="12"/>
      <c r="B355" s="13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>
      <c r="A356" s="12"/>
      <c r="B356" s="13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>
      <c r="A357" s="12"/>
      <c r="B357" s="13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>
      <c r="A358" s="12"/>
      <c r="B358" s="13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>
      <c r="A359" s="12"/>
      <c r="B359" s="13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>
      <c r="A360" s="12"/>
      <c r="B360" s="13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>
      <c r="A361" s="12"/>
      <c r="B361" s="13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>
      <c r="A362" s="12"/>
      <c r="B362" s="13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>
      <c r="A363" s="12"/>
      <c r="B363" s="13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>
      <c r="A364" s="12"/>
      <c r="B364" s="13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>
      <c r="A365" s="12"/>
      <c r="B365" s="13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>
      <c r="A366" s="12"/>
      <c r="B366" s="13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>
      <c r="A367" s="12"/>
      <c r="B367" s="13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>
      <c r="A368" s="12"/>
      <c r="B368" s="13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>
      <c r="A369" s="12"/>
      <c r="B369" s="13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>
      <c r="A370" s="12"/>
      <c r="B370" s="13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>
      <c r="A371" s="12"/>
      <c r="B371" s="13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>
      <c r="A372" s="12"/>
      <c r="B372" s="13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>
      <c r="A373" s="12"/>
      <c r="B373" s="13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>
      <c r="A374" s="12"/>
      <c r="B374" s="13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>
      <c r="A375" s="12"/>
      <c r="B375" s="13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>
      <c r="A376" s="12"/>
      <c r="B376" s="13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>
      <c r="A377" s="12"/>
      <c r="B377" s="13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>
      <c r="A378" s="12"/>
      <c r="B378" s="13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>
      <c r="A379" s="12"/>
      <c r="B379" s="13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>
      <c r="A380" s="12"/>
      <c r="B380" s="13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>
      <c r="A381" s="12"/>
      <c r="B381" s="13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>
      <c r="A382" s="12"/>
      <c r="B382" s="13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>
      <c r="A383" s="12"/>
      <c r="B383" s="13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>
      <c r="A384" s="12"/>
      <c r="B384" s="13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>
      <c r="A385" s="12"/>
      <c r="B385" s="13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>
      <c r="A386" s="12"/>
      <c r="B386" s="13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>
      <c r="A387" s="12"/>
      <c r="B387" s="13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>
      <c r="A388" s="12"/>
      <c r="B388" s="13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>
      <c r="A389" s="12"/>
      <c r="B389" s="13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>
      <c r="A390" s="12"/>
      <c r="B390" s="13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>
      <c r="A391" s="12"/>
      <c r="B391" s="13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>
      <c r="A392" s="12"/>
      <c r="B392" s="13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>
      <c r="A393" s="12"/>
      <c r="B393" s="13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>
      <c r="A394" s="12"/>
      <c r="B394" s="13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>
      <c r="A395" s="12"/>
      <c r="B395" s="13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>
      <c r="A396" s="12"/>
      <c r="B396" s="13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>
      <c r="A397" s="12"/>
      <c r="B397" s="13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>
      <c r="A398" s="12"/>
      <c r="B398" s="13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>
      <c r="A399" s="12"/>
      <c r="B399" s="13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>
      <c r="A400" s="12"/>
      <c r="B400" s="13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>
      <c r="A401" s="12"/>
      <c r="B401" s="13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>
      <c r="A402" s="12"/>
      <c r="B402" s="13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>
      <c r="A403" s="12"/>
      <c r="B403" s="13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>
      <c r="A404" s="12"/>
      <c r="B404" s="13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>
      <c r="A405" s="12"/>
      <c r="B405" s="13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>
      <c r="A406" s="12"/>
      <c r="B406" s="13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>
      <c r="A407" s="12"/>
      <c r="B407" s="13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>
      <c r="A408" s="12"/>
      <c r="B408" s="13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>
      <c r="A409" s="12"/>
      <c r="B409" s="13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>
      <c r="A410" s="12"/>
      <c r="B410" s="13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>
      <c r="A411" s="12"/>
      <c r="B411" s="13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>
      <c r="A412" s="12"/>
      <c r="B412" s="13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>
      <c r="A413" s="12"/>
      <c r="B413" s="13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>
      <c r="A414" s="12"/>
      <c r="B414" s="13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>
      <c r="A415" s="12"/>
      <c r="B415" s="13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>
      <c r="A416" s="12"/>
      <c r="B416" s="13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>
      <c r="A417" s="12"/>
      <c r="B417" s="13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>
      <c r="A418" s="12"/>
      <c r="B418" s="13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>
      <c r="A419" s="12"/>
      <c r="B419" s="13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>
      <c r="A420" s="12"/>
      <c r="B420" s="13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>
      <c r="A421" s="12"/>
      <c r="B421" s="13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>
      <c r="A422" s="12"/>
      <c r="B422" s="13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>
      <c r="A423" s="12"/>
      <c r="B423" s="13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>
      <c r="A424" s="12"/>
      <c r="B424" s="13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>
      <c r="A425" s="12"/>
      <c r="B425" s="13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>
      <c r="A426" s="12"/>
      <c r="B426" s="13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>
      <c r="A427" s="12"/>
      <c r="B427" s="13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>
      <c r="A428" s="12"/>
      <c r="B428" s="13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>
      <c r="A429" s="12"/>
      <c r="B429" s="13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>
      <c r="A430" s="12"/>
      <c r="B430" s="13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>
      <c r="A431" s="12"/>
      <c r="B431" s="13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>
      <c r="A432" s="12"/>
      <c r="B432" s="13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>
      <c r="A433" s="12"/>
      <c r="B433" s="13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>
      <c r="A434" s="12"/>
      <c r="B434" s="13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>
      <c r="A435" s="12"/>
      <c r="B435" s="13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>
      <c r="A436" s="12"/>
      <c r="B436" s="13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>
      <c r="A437" s="12"/>
      <c r="B437" s="13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>
      <c r="A438" s="12"/>
      <c r="B438" s="13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>
      <c r="A439" s="12"/>
      <c r="B439" s="13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>
      <c r="A440" s="12"/>
      <c r="B440" s="13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>
      <c r="A441" s="12"/>
      <c r="B441" s="13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>
      <c r="A442" s="12"/>
      <c r="B442" s="13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>
      <c r="A443" s="12"/>
      <c r="B443" s="13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>
      <c r="A444" s="12"/>
      <c r="B444" s="13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>
      <c r="A445" s="12"/>
      <c r="B445" s="13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>
      <c r="A446" s="12"/>
      <c r="B446" s="13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>
      <c r="A447" s="12"/>
      <c r="B447" s="13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>
      <c r="A448" s="12"/>
      <c r="B448" s="13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>
      <c r="A449" s="12"/>
      <c r="B449" s="13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>
      <c r="A450" s="12"/>
      <c r="B450" s="13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>
      <c r="A451" s="12"/>
      <c r="B451" s="13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>
      <c r="A452" s="12"/>
      <c r="B452" s="13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>
      <c r="A453" s="12"/>
      <c r="B453" s="13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>
      <c r="A454" s="12"/>
      <c r="B454" s="13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>
      <c r="A455" s="12"/>
      <c r="B455" s="13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>
      <c r="A456" s="12"/>
      <c r="B456" s="13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>
      <c r="A457" s="12"/>
      <c r="B457" s="13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>
      <c r="A458" s="12"/>
      <c r="B458" s="13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>
      <c r="A459" s="12"/>
      <c r="B459" s="13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>
      <c r="A460" s="12"/>
      <c r="B460" s="13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>
      <c r="A461" s="12"/>
      <c r="B461" s="13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>
      <c r="A462" s="12"/>
      <c r="B462" s="13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>
      <c r="A463" s="12"/>
      <c r="B463" s="13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>
      <c r="A464" s="12"/>
      <c r="B464" s="13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>
      <c r="A465" s="12"/>
      <c r="B465" s="13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>
      <c r="A466" s="12"/>
      <c r="B466" s="13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>
      <c r="A467" s="12"/>
      <c r="B467" s="13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>
      <c r="A468" s="12"/>
      <c r="B468" s="13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>
      <c r="A469" s="12"/>
      <c r="B469" s="13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>
      <c r="A470" s="12"/>
      <c r="B470" s="13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>
      <c r="A471" s="12"/>
      <c r="B471" s="13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>
      <c r="A472" s="12"/>
      <c r="B472" s="13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>
      <c r="A473" s="12"/>
      <c r="B473" s="13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>
      <c r="A474" s="12"/>
      <c r="B474" s="13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>
      <c r="A475" s="12"/>
      <c r="B475" s="13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>
      <c r="A476" s="12"/>
      <c r="B476" s="13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>
      <c r="A477" s="12"/>
      <c r="B477" s="13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>
      <c r="A478" s="12"/>
      <c r="B478" s="13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>
      <c r="A479" s="12"/>
      <c r="B479" s="13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>
      <c r="A480" s="12"/>
      <c r="B480" s="13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>
      <c r="A481" s="12"/>
      <c r="B481" s="13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>
      <c r="A482" s="12"/>
      <c r="B482" s="13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>
      <c r="A483" s="12"/>
      <c r="B483" s="13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>
      <c r="A484" s="12"/>
      <c r="B484" s="13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>
      <c r="A485" s="12"/>
      <c r="B485" s="13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>
      <c r="A486" s="12"/>
      <c r="B486" s="13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>
      <c r="A487" s="12"/>
      <c r="B487" s="13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>
      <c r="A488" s="12"/>
      <c r="B488" s="13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>
      <c r="A489" s="12"/>
      <c r="B489" s="13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>
      <c r="A490" s="12"/>
      <c r="B490" s="13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>
      <c r="A491" s="12"/>
      <c r="B491" s="13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>
      <c r="A492" s="12"/>
      <c r="B492" s="13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>
      <c r="A493" s="12"/>
      <c r="B493" s="13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>
      <c r="A494" s="12"/>
      <c r="B494" s="13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>
      <c r="A495" s="12"/>
      <c r="B495" s="13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>
      <c r="A496" s="12"/>
      <c r="B496" s="13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>
      <c r="A497" s="12"/>
      <c r="B497" s="13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>
      <c r="A498" s="12"/>
      <c r="B498" s="13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>
      <c r="A499" s="12"/>
      <c r="B499" s="13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>
      <c r="A500" s="12"/>
      <c r="B500" s="13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>
      <c r="A501" s="12"/>
      <c r="B501" s="13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>
      <c r="A502" s="12"/>
      <c r="B502" s="13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>
      <c r="A503" s="12"/>
      <c r="B503" s="13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>
      <c r="A504" s="12"/>
      <c r="B504" s="13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>
      <c r="A505" s="12"/>
      <c r="B505" s="13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>
      <c r="A506" s="12"/>
      <c r="B506" s="13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>
      <c r="A507" s="12"/>
      <c r="B507" s="13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>
      <c r="A508" s="12"/>
      <c r="B508" s="13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>
      <c r="A509" s="12"/>
      <c r="B509" s="13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>
      <c r="A510" s="12"/>
      <c r="B510" s="13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>
      <c r="A511" s="12"/>
      <c r="B511" s="13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>
      <c r="A512" s="12"/>
      <c r="B512" s="13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>
      <c r="A513" s="12"/>
      <c r="B513" s="13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>
      <c r="A514" s="12"/>
      <c r="B514" s="13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>
      <c r="A515" s="12"/>
      <c r="B515" s="13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>
      <c r="A516" s="12"/>
      <c r="B516" s="13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>
      <c r="A517" s="12"/>
      <c r="B517" s="13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>
      <c r="A518" s="12"/>
      <c r="B518" s="13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>
      <c r="A519" s="12"/>
      <c r="B519" s="13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>
      <c r="A520" s="12"/>
      <c r="B520" s="13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>
      <c r="A521" s="12"/>
      <c r="B521" s="13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>
      <c r="A522" s="12"/>
      <c r="B522" s="13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>
      <c r="A523" s="12"/>
      <c r="B523" s="13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>
      <c r="A524" s="12"/>
      <c r="B524" s="13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>
      <c r="A525" s="12"/>
      <c r="B525" s="13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>
      <c r="A526" s="12"/>
      <c r="B526" s="13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>
      <c r="A527" s="12"/>
      <c r="B527" s="13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>
      <c r="A528" s="12"/>
      <c r="B528" s="13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>
      <c r="A529" s="12"/>
      <c r="B529" s="13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>
      <c r="A530" s="12"/>
      <c r="B530" s="13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>
      <c r="A531" s="12"/>
      <c r="B531" s="13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>
      <c r="A532" s="12"/>
      <c r="B532" s="13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>
      <c r="A533" s="12"/>
      <c r="B533" s="13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>
      <c r="A534" s="12"/>
      <c r="B534" s="13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>
      <c r="A535" s="12"/>
      <c r="B535" s="13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>
      <c r="A536" s="12"/>
      <c r="B536" s="13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>
      <c r="A537" s="12"/>
      <c r="B537" s="13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>
      <c r="A538" s="12"/>
      <c r="B538" s="13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>
      <c r="A539" s="12"/>
      <c r="B539" s="13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>
      <c r="A540" s="12"/>
      <c r="B540" s="13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>
      <c r="A541" s="12"/>
      <c r="B541" s="13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>
      <c r="A542" s="12"/>
      <c r="B542" s="13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>
      <c r="A543" s="12"/>
      <c r="B543" s="13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>
      <c r="A544" s="12"/>
      <c r="B544" s="13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>
      <c r="A545" s="12"/>
      <c r="B545" s="13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>
      <c r="A546" s="12"/>
      <c r="B546" s="13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>
      <c r="A547" s="12"/>
      <c r="B547" s="13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>
      <c r="A548" s="12"/>
      <c r="B548" s="13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>
      <c r="A549" s="12"/>
      <c r="B549" s="13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>
      <c r="A550" s="12"/>
      <c r="B550" s="13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>
      <c r="A551" s="12"/>
      <c r="B551" s="13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>
      <c r="A552" s="12"/>
      <c r="B552" s="13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>
      <c r="A553" s="12"/>
      <c r="B553" s="13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>
      <c r="A554" s="12"/>
      <c r="B554" s="13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>
      <c r="A555" s="12"/>
      <c r="B555" s="13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>
      <c r="A556" s="12"/>
      <c r="B556" s="13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>
      <c r="A557" s="12"/>
      <c r="B557" s="13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>
      <c r="A558" s="12"/>
      <c r="B558" s="13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>
      <c r="A559" s="12"/>
      <c r="B559" s="13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>
      <c r="A560" s="12"/>
      <c r="B560" s="13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>
      <c r="A561" s="12"/>
      <c r="B561" s="13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>
      <c r="A562" s="12"/>
      <c r="B562" s="13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>
      <c r="A563" s="12"/>
      <c r="B563" s="13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>
      <c r="A564" s="12"/>
      <c r="B564" s="13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>
      <c r="A565" s="12"/>
      <c r="B565" s="13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>
      <c r="A566" s="12"/>
      <c r="B566" s="13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>
      <c r="A567" s="12"/>
      <c r="B567" s="13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>
      <c r="A568" s="12"/>
      <c r="B568" s="13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>
      <c r="A569" s="12"/>
      <c r="B569" s="13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>
      <c r="A570" s="12"/>
      <c r="B570" s="13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>
      <c r="A571" s="12"/>
      <c r="B571" s="13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>
      <c r="A572" s="12"/>
      <c r="B572" s="13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>
      <c r="A573" s="12"/>
      <c r="B573" s="13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>
      <c r="A574" s="12"/>
      <c r="B574" s="13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>
      <c r="A575" s="12"/>
      <c r="B575" s="13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>
      <c r="A576" s="12"/>
      <c r="B576" s="13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>
      <c r="A577" s="12"/>
      <c r="B577" s="13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>
      <c r="A578" s="12"/>
      <c r="B578" s="13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>
      <c r="A579" s="12"/>
      <c r="B579" s="13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>
      <c r="A580" s="12"/>
      <c r="B580" s="13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>
      <c r="A581" s="12"/>
      <c r="B581" s="13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>
      <c r="A582" s="12"/>
      <c r="B582" s="13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>
      <c r="A583" s="12"/>
      <c r="B583" s="13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>
      <c r="A584" s="12"/>
      <c r="B584" s="13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>
      <c r="A585" s="12"/>
      <c r="B585" s="13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>
      <c r="A586" s="12"/>
      <c r="B586" s="13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>
      <c r="A587" s="12"/>
      <c r="B587" s="13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>
      <c r="A588" s="12"/>
      <c r="B588" s="13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>
      <c r="A589" s="12"/>
      <c r="B589" s="13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>
      <c r="A590" s="12"/>
      <c r="B590" s="13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>
      <c r="A591" s="12"/>
      <c r="B591" s="13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>
      <c r="A592" s="12"/>
      <c r="B592" s="13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>
      <c r="A593" s="12"/>
      <c r="B593" s="13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>
      <c r="A594" s="12"/>
      <c r="B594" s="13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>
      <c r="A595" s="12"/>
      <c r="B595" s="13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>
      <c r="A596" s="12"/>
      <c r="B596" s="13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>
      <c r="A597" s="12"/>
      <c r="B597" s="13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>
      <c r="A598" s="12"/>
      <c r="B598" s="13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>
      <c r="A599" s="12"/>
      <c r="B599" s="13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>
      <c r="A600" s="12"/>
      <c r="B600" s="13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>
      <c r="A601" s="12"/>
      <c r="B601" s="13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>
      <c r="A602" s="12"/>
      <c r="B602" s="13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>
      <c r="A603" s="12"/>
      <c r="B603" s="13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>
      <c r="A604" s="12"/>
      <c r="B604" s="13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>
      <c r="A605" s="12"/>
      <c r="B605" s="13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>
      <c r="A606" s="12"/>
      <c r="B606" s="13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>
      <c r="A607" s="12"/>
      <c r="B607" s="13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>
      <c r="A608" s="12"/>
      <c r="B608" s="13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>
      <c r="A609" s="12"/>
      <c r="B609" s="13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>
      <c r="A610" s="12"/>
      <c r="B610" s="13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>
      <c r="A611" s="12"/>
      <c r="B611" s="13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>
      <c r="A612" s="12"/>
      <c r="B612" s="13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>
      <c r="A613" s="12"/>
      <c r="B613" s="13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>
      <c r="A614" s="12"/>
      <c r="B614" s="13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>
      <c r="A615" s="12"/>
      <c r="B615" s="13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>
      <c r="A616" s="12"/>
      <c r="B616" s="13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>
      <c r="A617" s="12"/>
      <c r="B617" s="13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>
      <c r="A618" s="12"/>
      <c r="B618" s="13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>
      <c r="A619" s="12"/>
      <c r="B619" s="13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>
      <c r="A620" s="12"/>
      <c r="B620" s="13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>
      <c r="A621" s="12"/>
      <c r="B621" s="13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>
      <c r="A622" s="12"/>
      <c r="B622" s="13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>
      <c r="A623" s="12"/>
      <c r="B623" s="13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>
      <c r="A624" s="12"/>
      <c r="B624" s="13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>
      <c r="A625" s="12"/>
      <c r="B625" s="13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>
      <c r="A626" s="12"/>
      <c r="B626" s="13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>
      <c r="A627" s="12"/>
      <c r="B627" s="13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>
      <c r="A628" s="12"/>
      <c r="B628" s="13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>
      <c r="A629" s="12"/>
      <c r="B629" s="13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>
      <c r="A630" s="12"/>
      <c r="B630" s="13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>
      <c r="A631" s="12"/>
      <c r="B631" s="13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>
      <c r="A632" s="12"/>
      <c r="B632" s="13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>
      <c r="A633" s="12"/>
      <c r="B633" s="13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>
      <c r="A634" s="12"/>
      <c r="B634" s="13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>
      <c r="A635" s="12"/>
      <c r="B635" s="13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>
      <c r="A636" s="12"/>
      <c r="B636" s="13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>
      <c r="A637" s="12"/>
      <c r="B637" s="13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>
      <c r="A638" s="12"/>
      <c r="B638" s="13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>
      <c r="A639" s="12"/>
      <c r="B639" s="13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>
      <c r="A640" s="12"/>
      <c r="B640" s="13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>
      <c r="A641" s="12"/>
      <c r="B641" s="13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>
      <c r="A642" s="12"/>
      <c r="B642" s="13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>
      <c r="A643" s="12"/>
      <c r="B643" s="13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>
      <c r="A644" s="12"/>
      <c r="B644" s="13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>
      <c r="A645" s="12"/>
      <c r="B645" s="13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>
      <c r="A646" s="12"/>
      <c r="B646" s="13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>
      <c r="A647" s="12"/>
      <c r="B647" s="13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>
      <c r="A648" s="12"/>
      <c r="B648" s="13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>
      <c r="A649" s="12"/>
      <c r="B649" s="13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>
      <c r="A650" s="12"/>
      <c r="B650" s="13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>
      <c r="A651" s="12"/>
      <c r="B651" s="13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>
      <c r="A652" s="12"/>
      <c r="B652" s="13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>
      <c r="A653" s="12"/>
      <c r="B653" s="13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>
      <c r="A654" s="12"/>
      <c r="B654" s="13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>
      <c r="A655" s="12"/>
      <c r="B655" s="13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>
      <c r="A656" s="12"/>
      <c r="B656" s="13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>
      <c r="A657" s="12"/>
      <c r="B657" s="13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>
      <c r="A658" s="12"/>
      <c r="B658" s="13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>
      <c r="A659" s="12"/>
      <c r="B659" s="13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>
      <c r="A660" s="12"/>
      <c r="B660" s="13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>
      <c r="A661" s="12"/>
      <c r="B661" s="13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>
      <c r="A662" s="12"/>
      <c r="B662" s="13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>
      <c r="A663" s="12"/>
      <c r="B663" s="13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>
      <c r="A664" s="12"/>
      <c r="B664" s="13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>
      <c r="A665" s="12"/>
      <c r="B665" s="13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>
      <c r="A666" s="12"/>
      <c r="B666" s="13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>
      <c r="A667" s="12"/>
      <c r="B667" s="13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>
      <c r="A668" s="12"/>
      <c r="B668" s="13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>
      <c r="A669" s="12"/>
      <c r="B669" s="13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>
      <c r="A670" s="12"/>
      <c r="B670" s="13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>
      <c r="A671" s="12"/>
      <c r="B671" s="13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>
      <c r="A672" s="12"/>
      <c r="B672" s="13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>
      <c r="A673" s="12"/>
      <c r="B673" s="13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>
      <c r="A674" s="12"/>
      <c r="B674" s="13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>
      <c r="A675" s="12"/>
      <c r="B675" s="13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>
      <c r="A676" s="12"/>
      <c r="B676" s="13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>
      <c r="A677" s="12"/>
      <c r="B677" s="13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>
      <c r="A678" s="12"/>
      <c r="B678" s="13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>
      <c r="A679" s="12"/>
      <c r="B679" s="13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>
      <c r="A680" s="12"/>
      <c r="B680" s="13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>
      <c r="A681" s="12"/>
      <c r="B681" s="13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>
      <c r="A682" s="12"/>
      <c r="B682" s="13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>
      <c r="A683" s="12"/>
      <c r="B683" s="13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>
      <c r="A684" s="12"/>
      <c r="B684" s="13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>
      <c r="A685" s="12"/>
      <c r="B685" s="13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>
      <c r="A686" s="12"/>
      <c r="B686" s="13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>
      <c r="A687" s="12"/>
      <c r="B687" s="13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>
      <c r="A688" s="12"/>
      <c r="B688" s="13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>
      <c r="A689" s="12"/>
      <c r="B689" s="13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>
      <c r="A690" s="12"/>
      <c r="B690" s="13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>
      <c r="A691" s="12"/>
      <c r="B691" s="13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>
      <c r="A692" s="12"/>
      <c r="B692" s="13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>
      <c r="A693" s="12"/>
      <c r="B693" s="13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>
      <c r="A694" s="12"/>
      <c r="B694" s="13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>
      <c r="A695" s="12"/>
      <c r="B695" s="13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>
      <c r="A696" s="12"/>
      <c r="B696" s="13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>
      <c r="A697" s="12"/>
      <c r="B697" s="13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>
      <c r="A698" s="12"/>
      <c r="B698" s="13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>
      <c r="A699" s="12"/>
      <c r="B699" s="13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>
      <c r="A700" s="12"/>
      <c r="B700" s="13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>
      <c r="A701" s="12"/>
      <c r="B701" s="13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>
      <c r="A702" s="12"/>
      <c r="B702" s="13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>
      <c r="A703" s="12"/>
      <c r="B703" s="13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>
      <c r="A704" s="12"/>
      <c r="B704" s="13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>
      <c r="A705" s="12"/>
      <c r="B705" s="13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>
      <c r="A706" s="12"/>
      <c r="B706" s="13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>
      <c r="A707" s="12"/>
      <c r="B707" s="13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>
      <c r="A708" s="12"/>
      <c r="B708" s="13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>
      <c r="A709" s="12"/>
      <c r="B709" s="13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>
      <c r="A710" s="12"/>
      <c r="B710" s="13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>
      <c r="A711" s="12"/>
      <c r="B711" s="13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>
      <c r="A712" s="12"/>
      <c r="B712" s="13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>
      <c r="A713" s="12"/>
      <c r="B713" s="13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>
      <c r="A714" s="12"/>
      <c r="B714" s="13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>
      <c r="A715" s="12"/>
      <c r="B715" s="13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>
      <c r="A716" s="12"/>
      <c r="B716" s="13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>
      <c r="A717" s="12"/>
      <c r="B717" s="13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>
      <c r="A718" s="12"/>
      <c r="B718" s="13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>
      <c r="A719" s="12"/>
      <c r="B719" s="13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>
      <c r="A720" s="12"/>
      <c r="B720" s="13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>
      <c r="A721" s="12"/>
      <c r="B721" s="13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>
      <c r="A722" s="12"/>
      <c r="B722" s="13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>
      <c r="A723" s="12"/>
      <c r="B723" s="13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>
      <c r="A724" s="12"/>
      <c r="B724" s="13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>
      <c r="A725" s="12"/>
      <c r="B725" s="13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>
      <c r="A726" s="12"/>
      <c r="B726" s="13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>
      <c r="A727" s="12"/>
      <c r="B727" s="13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>
      <c r="A728" s="12"/>
      <c r="B728" s="13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>
      <c r="A729" s="12"/>
      <c r="B729" s="13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>
      <c r="A730" s="12"/>
      <c r="B730" s="13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>
      <c r="A731" s="12"/>
      <c r="B731" s="13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>
      <c r="A732" s="12"/>
      <c r="B732" s="13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>
      <c r="A733" s="12"/>
      <c r="B733" s="13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>
      <c r="A734" s="12"/>
      <c r="B734" s="13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>
      <c r="A735" s="12"/>
      <c r="B735" s="13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>
      <c r="A736" s="12"/>
      <c r="B736" s="13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>
      <c r="A737" s="12"/>
      <c r="B737" s="13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>
      <c r="A738" s="12"/>
      <c r="B738" s="13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>
      <c r="A739" s="12"/>
      <c r="B739" s="13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>
      <c r="A740" s="12"/>
      <c r="B740" s="13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>
      <c r="A741" s="12"/>
      <c r="B741" s="13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>
      <c r="A742" s="12"/>
      <c r="B742" s="13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>
      <c r="A743" s="12"/>
      <c r="B743" s="13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>
      <c r="A744" s="12"/>
      <c r="B744" s="13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>
      <c r="A745" s="12"/>
      <c r="B745" s="13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>
      <c r="A746" s="12"/>
      <c r="B746" s="13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>
      <c r="A747" s="12"/>
      <c r="B747" s="13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>
      <c r="A748" s="12"/>
      <c r="B748" s="13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>
      <c r="A749" s="12"/>
      <c r="B749" s="13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>
      <c r="A750" s="12"/>
      <c r="B750" s="13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>
      <c r="A751" s="12"/>
      <c r="B751" s="13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>
      <c r="A752" s="12"/>
      <c r="B752" s="13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>
      <c r="A753" s="12"/>
      <c r="B753" s="13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>
      <c r="A754" s="12"/>
      <c r="B754" s="13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>
      <c r="A755" s="12"/>
      <c r="B755" s="13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>
      <c r="A756" s="12"/>
      <c r="B756" s="13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>
      <c r="A757" s="12"/>
      <c r="B757" s="13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>
      <c r="A758" s="12"/>
      <c r="B758" s="13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>
      <c r="A759" s="12"/>
      <c r="B759" s="13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>
      <c r="A760" s="12"/>
      <c r="B760" s="13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>
      <c r="A761" s="12"/>
      <c r="B761" s="13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>
      <c r="A762" s="12"/>
      <c r="B762" s="13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>
      <c r="A763" s="12"/>
      <c r="B763" s="13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>
      <c r="A764" s="12"/>
      <c r="B764" s="13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>
      <c r="A765" s="12"/>
      <c r="B765" s="13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>
      <c r="A766" s="12"/>
      <c r="B766" s="13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>
      <c r="A767" s="12"/>
      <c r="B767" s="13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>
      <c r="A768" s="12"/>
      <c r="B768" s="13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>
      <c r="A769" s="12"/>
      <c r="B769" s="13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>
      <c r="A770" s="12"/>
      <c r="B770" s="13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>
      <c r="A771" s="12"/>
      <c r="B771" s="13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>
      <c r="A772" s="12"/>
      <c r="B772" s="13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>
      <c r="A773" s="12"/>
      <c r="B773" s="13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>
      <c r="A774" s="12"/>
      <c r="B774" s="13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>
      <c r="A775" s="12"/>
      <c r="B775" s="13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>
      <c r="A776" s="12"/>
      <c r="B776" s="13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>
      <c r="A777" s="12"/>
      <c r="B777" s="13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>
      <c r="A778" s="12"/>
      <c r="B778" s="13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>
      <c r="A779" s="12"/>
      <c r="B779" s="13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>
      <c r="A780" s="12"/>
      <c r="B780" s="13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>
      <c r="A781" s="12"/>
      <c r="B781" s="13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>
      <c r="A782" s="12"/>
      <c r="B782" s="13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>
      <c r="A783" s="12"/>
      <c r="B783" s="13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>
      <c r="A784" s="12"/>
      <c r="B784" s="13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>
      <c r="A785" s="12"/>
      <c r="B785" s="13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>
      <c r="A786" s="12"/>
      <c r="B786" s="13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>
      <c r="A787" s="12"/>
      <c r="B787" s="13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>
      <c r="A788" s="12"/>
      <c r="B788" s="13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>
      <c r="A789" s="12"/>
      <c r="B789" s="13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>
      <c r="A790" s="12"/>
      <c r="B790" s="13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>
      <c r="A791" s="12"/>
      <c r="B791" s="13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>
      <c r="A792" s="12"/>
      <c r="B792" s="13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>
      <c r="A793" s="12"/>
      <c r="B793" s="13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>
      <c r="A794" s="12"/>
      <c r="B794" s="13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>
      <c r="A795" s="12"/>
      <c r="B795" s="13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>
      <c r="A796" s="12"/>
      <c r="B796" s="13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>
      <c r="A797" s="12"/>
      <c r="B797" s="13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>
      <c r="A798" s="12"/>
      <c r="B798" s="13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>
      <c r="A799" s="12"/>
      <c r="B799" s="13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>
      <c r="A800" s="12"/>
      <c r="B800" s="13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>
      <c r="A801" s="12"/>
      <c r="B801" s="13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>
      <c r="A802" s="12"/>
      <c r="B802" s="13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>
      <c r="A803" s="12"/>
      <c r="B803" s="13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>
      <c r="A804" s="12"/>
      <c r="B804" s="13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>
      <c r="A805" s="12"/>
      <c r="B805" s="13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>
      <c r="A806" s="12"/>
      <c r="B806" s="13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>
      <c r="A807" s="12"/>
      <c r="B807" s="13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>
      <c r="A808" s="12"/>
      <c r="B808" s="13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>
      <c r="A809" s="12"/>
      <c r="B809" s="13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>
      <c r="A810" s="12"/>
      <c r="B810" s="13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>
      <c r="A811" s="12"/>
      <c r="B811" s="13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>
      <c r="A812" s="12"/>
      <c r="B812" s="13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>
      <c r="A813" s="12"/>
      <c r="B813" s="13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>
      <c r="A814" s="12"/>
      <c r="B814" s="13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>
      <c r="A815" s="12"/>
      <c r="B815" s="13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>
      <c r="A816" s="12"/>
      <c r="B816" s="13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>
      <c r="A817" s="12"/>
      <c r="B817" s="13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>
      <c r="A818" s="12"/>
      <c r="B818" s="13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>
      <c r="A819" s="12"/>
      <c r="B819" s="13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>
      <c r="A820" s="12"/>
      <c r="B820" s="13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>
      <c r="A821" s="12"/>
      <c r="B821" s="13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>
      <c r="A822" s="12"/>
      <c r="B822" s="13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>
      <c r="A823" s="12"/>
      <c r="B823" s="13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>
      <c r="A824" s="12"/>
      <c r="B824" s="13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>
      <c r="A825" s="12"/>
      <c r="B825" s="13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>
      <c r="A826" s="12"/>
      <c r="B826" s="13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>
      <c r="A827" s="12"/>
      <c r="B827" s="13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>
      <c r="A828" s="12"/>
      <c r="B828" s="13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>
      <c r="A829" s="12"/>
      <c r="B829" s="13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>
      <c r="A830" s="12"/>
      <c r="B830" s="13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>
      <c r="A831" s="12"/>
      <c r="B831" s="13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>
      <c r="A832" s="12"/>
      <c r="B832" s="13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>
      <c r="A833" s="12"/>
      <c r="B833" s="13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>
      <c r="A834" s="12"/>
      <c r="B834" s="13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>
      <c r="A835" s="12"/>
      <c r="B835" s="13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>
      <c r="A836" s="12"/>
      <c r="B836" s="13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>
      <c r="A837" s="12"/>
      <c r="B837" s="13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>
      <c r="A838" s="12"/>
      <c r="B838" s="13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>
      <c r="A839" s="12"/>
      <c r="B839" s="13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>
      <c r="A840" s="12"/>
      <c r="B840" s="13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>
      <c r="A841" s="12"/>
      <c r="B841" s="13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>
      <c r="A842" s="12"/>
      <c r="B842" s="13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>
      <c r="A843" s="12"/>
      <c r="B843" s="13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>
      <c r="A844" s="12"/>
      <c r="B844" s="13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>
      <c r="A845" s="12"/>
      <c r="B845" s="13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>
      <c r="A846" s="12"/>
      <c r="B846" s="13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>
      <c r="A847" s="12"/>
      <c r="B847" s="13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>
      <c r="A848" s="12"/>
      <c r="B848" s="13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>
      <c r="A849" s="12"/>
      <c r="B849" s="13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>
      <c r="A850" s="12"/>
      <c r="B850" s="13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>
      <c r="A851" s="12"/>
      <c r="B851" s="13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>
      <c r="A852" s="12"/>
      <c r="B852" s="13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>
      <c r="A853" s="12"/>
      <c r="B853" s="13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>
      <c r="A854" s="12"/>
      <c r="B854" s="13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>
      <c r="A855" s="12"/>
      <c r="B855" s="13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>
      <c r="A856" s="12"/>
      <c r="B856" s="13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>
      <c r="A857" s="12"/>
      <c r="B857" s="13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>
      <c r="A858" s="12"/>
      <c r="B858" s="13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>
      <c r="A859" s="12"/>
      <c r="B859" s="13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>
      <c r="A860" s="12"/>
      <c r="B860" s="13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>
      <c r="A861" s="12"/>
      <c r="B861" s="13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>
      <c r="A862" s="12"/>
      <c r="B862" s="13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>
      <c r="A863" s="12"/>
      <c r="B863" s="13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>
      <c r="A864" s="12"/>
      <c r="B864" s="13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>
      <c r="A865" s="12"/>
      <c r="B865" s="13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>
      <c r="A866" s="12"/>
      <c r="B866" s="13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>
      <c r="A867" s="12"/>
      <c r="B867" s="13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>
      <c r="A868" s="12"/>
      <c r="B868" s="13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>
      <c r="A869" s="12"/>
      <c r="B869" s="13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>
      <c r="A870" s="12"/>
      <c r="B870" s="13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>
      <c r="A871" s="12"/>
      <c r="B871" s="13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>
      <c r="A872" s="12"/>
      <c r="B872" s="13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>
      <c r="A873" s="12"/>
      <c r="B873" s="13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>
      <c r="A874" s="12"/>
      <c r="B874" s="13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>
      <c r="A875" s="12"/>
      <c r="B875" s="13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>
      <c r="A876" s="12"/>
      <c r="B876" s="13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>
      <c r="A877" s="12"/>
      <c r="B877" s="13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>
      <c r="A878" s="12"/>
      <c r="B878" s="13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>
      <c r="A879" s="12"/>
      <c r="B879" s="13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>
      <c r="A880" s="12"/>
      <c r="B880" s="13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>
      <c r="A881" s="12"/>
      <c r="B881" s="13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>
      <c r="A882" s="12"/>
      <c r="B882" s="13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>
      <c r="A883" s="12"/>
      <c r="B883" s="13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>
      <c r="A884" s="12"/>
      <c r="B884" s="13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>
      <c r="A885" s="12"/>
      <c r="B885" s="13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>
      <c r="A886" s="12"/>
      <c r="B886" s="13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>
      <c r="A887" s="12"/>
      <c r="B887" s="13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>
      <c r="A888" s="12"/>
      <c r="B888" s="13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>
      <c r="A889" s="12"/>
      <c r="B889" s="13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>
      <c r="A890" s="12"/>
      <c r="B890" s="13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>
      <c r="A891" s="12"/>
      <c r="B891" s="13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>
      <c r="A892" s="12"/>
      <c r="B892" s="13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>
      <c r="A893" s="12"/>
      <c r="B893" s="13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>
      <c r="A894" s="12"/>
      <c r="B894" s="13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>
      <c r="A895" s="12"/>
      <c r="B895" s="13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>
      <c r="A896" s="12"/>
      <c r="B896" s="13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>
      <c r="A897" s="12"/>
      <c r="B897" s="13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>
      <c r="A898" s="12"/>
      <c r="B898" s="13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>
      <c r="A899" s="12"/>
      <c r="B899" s="13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>
      <c r="A900" s="12"/>
      <c r="B900" s="13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>
      <c r="A901" s="12"/>
      <c r="B901" s="13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>
      <c r="A902" s="12"/>
      <c r="B902" s="13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>
      <c r="A903" s="12"/>
      <c r="B903" s="13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>
      <c r="A904" s="12"/>
      <c r="B904" s="13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>
      <c r="A905" s="12"/>
      <c r="B905" s="13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>
      <c r="A906" s="12"/>
      <c r="B906" s="13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>
      <c r="A907" s="12"/>
      <c r="B907" s="13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>
      <c r="A908" s="12"/>
      <c r="B908" s="13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>
      <c r="A909" s="12"/>
      <c r="B909" s="13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>
      <c r="A910" s="12"/>
      <c r="B910" s="13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>
      <c r="A911" s="12"/>
      <c r="B911" s="13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>
      <c r="A912" s="12"/>
      <c r="B912" s="13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>
      <c r="A913" s="12"/>
      <c r="B913" s="13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>
      <c r="A914" s="12"/>
      <c r="B914" s="13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>
      <c r="A915" s="12"/>
      <c r="B915" s="13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>
      <c r="A916" s="12"/>
      <c r="B916" s="13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>
      <c r="A917" s="12"/>
      <c r="B917" s="13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>
      <c r="A918" s="12"/>
      <c r="B918" s="13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>
      <c r="A919" s="12"/>
      <c r="B919" s="13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>
      <c r="A920" s="12"/>
      <c r="B920" s="13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>
      <c r="A921" s="12"/>
      <c r="B921" s="13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>
      <c r="A922" s="12"/>
      <c r="B922" s="13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>
      <c r="A923" s="12"/>
      <c r="B923" s="13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>
      <c r="A924" s="12"/>
      <c r="B924" s="13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>
      <c r="A925" s="12"/>
      <c r="B925" s="13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>
      <c r="A926" s="12"/>
      <c r="B926" s="13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>
      <c r="A927" s="12"/>
      <c r="B927" s="13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>
      <c r="A928" s="12"/>
      <c r="B928" s="13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>
      <c r="A929" s="12"/>
      <c r="B929" s="13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>
      <c r="A930" s="12"/>
      <c r="B930" s="13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>
      <c r="A931" s="12"/>
      <c r="B931" s="13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>
      <c r="A932" s="12"/>
      <c r="B932" s="13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>
      <c r="A933" s="12"/>
      <c r="B933" s="13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>
      <c r="A934" s="12"/>
      <c r="B934" s="13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>
      <c r="A935" s="12"/>
      <c r="B935" s="13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>
      <c r="A936" s="12"/>
      <c r="B936" s="13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>
      <c r="A937" s="12"/>
      <c r="B937" s="13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>
      <c r="A938" s="12"/>
      <c r="B938" s="13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>
      <c r="A939" s="12"/>
      <c r="B939" s="13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>
      <c r="A940" s="12"/>
      <c r="B940" s="13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>
      <c r="A941" s="12"/>
      <c r="B941" s="13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>
      <c r="A942" s="12"/>
      <c r="B942" s="13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>
      <c r="A943" s="12"/>
      <c r="B943" s="13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>
      <c r="A944" s="12"/>
      <c r="B944" s="13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>
      <c r="A945" s="12"/>
      <c r="B945" s="13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>
      <c r="A946" s="12"/>
      <c r="B946" s="13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>
      <c r="A947" s="12"/>
      <c r="B947" s="13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>
      <c r="A948" s="12"/>
      <c r="B948" s="13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>
      <c r="A949" s="12"/>
      <c r="B949" s="13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>
      <c r="A950" s="12"/>
      <c r="B950" s="13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>
      <c r="A951" s="12"/>
      <c r="B951" s="13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>
      <c r="A952" s="12"/>
      <c r="B952" s="13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>
      <c r="A953" s="12"/>
      <c r="B953" s="13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>
      <c r="A954" s="12"/>
      <c r="B954" s="13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>
      <c r="A955" s="12"/>
      <c r="B955" s="13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>
      <c r="A956" s="12"/>
      <c r="B956" s="13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>
      <c r="A957" s="12"/>
      <c r="B957" s="13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>
      <c r="A958" s="12"/>
      <c r="B958" s="13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>
      <c r="A959" s="12"/>
      <c r="B959" s="13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>
      <c r="A960" s="12"/>
      <c r="B960" s="13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>
      <c r="A961" s="12"/>
      <c r="B961" s="13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>
      <c r="A962" s="12"/>
      <c r="B962" s="13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>
      <c r="A963" s="12"/>
      <c r="B963" s="1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>
      <c r="A964" s="12"/>
      <c r="B964" s="13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>
      <c r="A965" s="12"/>
      <c r="B965" s="13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>
      <c r="A966" s="12"/>
      <c r="B966" s="13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>
      <c r="A967" s="12"/>
      <c r="B967" s="13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>
      <c r="A968" s="12"/>
      <c r="B968" s="13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>
      <c r="A969" s="12"/>
      <c r="B969" s="13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>
      <c r="A970" s="12"/>
      <c r="B970" s="13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>
      <c r="A971" s="12"/>
      <c r="B971" s="13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>
      <c r="A972" s="12"/>
      <c r="B972" s="13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>
      <c r="A973" s="12"/>
      <c r="B973" s="13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>
      <c r="A974" s="12"/>
      <c r="B974" s="13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>
      <c r="A975" s="12"/>
      <c r="B975" s="13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>
      <c r="A976" s="12"/>
      <c r="B976" s="13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>
      <c r="A977" s="12"/>
      <c r="B977" s="13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>
      <c r="A978" s="12"/>
      <c r="B978" s="13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>
      <c r="A979" s="12"/>
      <c r="B979" s="13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>
      <c r="A980" s="12"/>
      <c r="B980" s="13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>
      <c r="A981" s="12"/>
      <c r="B981" s="13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>
      <c r="A982" s="12"/>
      <c r="B982" s="13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>
      <c r="A983" s="12"/>
      <c r="B983" s="13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>
      <c r="A984" s="12"/>
      <c r="B984" s="13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>
      <c r="A985" s="12"/>
      <c r="B985" s="13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>
      <c r="A986" s="12"/>
      <c r="B986" s="13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>
      <c r="A987" s="12"/>
      <c r="B987" s="13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>
      <c r="A988" s="12"/>
      <c r="B988" s="13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>
      <c r="A989" s="12"/>
      <c r="B989" s="13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>
      <c r="A990" s="12"/>
      <c r="B990" s="13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>
      <c r="A991" s="12"/>
      <c r="B991" s="13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>
      <c r="A992" s="12"/>
      <c r="B992" s="13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>
      <c r="A993" s="12"/>
      <c r="B993" s="13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>
      <c r="A994" s="12"/>
      <c r="B994" s="13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>
      <c r="A995" s="12"/>
      <c r="B995" s="13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>
      <c r="A996" s="12"/>
      <c r="B996" s="13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>
      <c r="A997" s="12"/>
      <c r="B997" s="13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>
      <c r="A998" s="12"/>
      <c r="B998" s="13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>
      <c r="A999" s="12"/>
      <c r="B999" s="13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defaultColWidth="11.25" defaultRowHeight="15" customHeight="1"/>
  <cols>
    <col min="1" max="2" width="10.625" customWidth="1"/>
    <col min="3" max="3" width="5" customWidth="1"/>
    <col min="4" max="7" width="11" customWidth="1"/>
    <col min="8" max="8" width="9" customWidth="1"/>
    <col min="9" max="9" width="18" customWidth="1"/>
    <col min="10" max="10" width="23.5" customWidth="1"/>
    <col min="11" max="26" width="11" customWidth="1"/>
  </cols>
  <sheetData>
    <row r="1" spans="1:26" ht="30" customHeight="1">
      <c r="A1" s="1" t="s">
        <v>0</v>
      </c>
      <c r="B1" s="51"/>
      <c r="C1" s="52"/>
      <c r="D1" s="52"/>
      <c r="E1" s="52"/>
      <c r="F1" s="52"/>
      <c r="G1" s="52"/>
      <c r="H1" s="3"/>
      <c r="I1" s="4">
        <f ca="1">TODAY()</f>
        <v>46043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>
      <c r="A2" s="53" t="s">
        <v>2</v>
      </c>
      <c r="B2" s="54"/>
      <c r="C2" s="2"/>
      <c r="D2" s="53" t="s">
        <v>3</v>
      </c>
      <c r="E2" s="54"/>
      <c r="F2" s="2"/>
      <c r="G2" s="2"/>
      <c r="H2" s="3"/>
      <c r="I2" s="4"/>
      <c r="J2" s="3"/>
      <c r="K2" s="3"/>
      <c r="L2" s="3"/>
      <c r="M2" s="14"/>
      <c r="N2" s="1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>
      <c r="A3" s="15" t="s">
        <v>4</v>
      </c>
      <c r="B3" s="16" t="s">
        <v>5</v>
      </c>
      <c r="C3" s="6"/>
      <c r="D3" s="16" t="str">
        <f t="shared" ref="D3:E3" si="0">A3</f>
        <v>X Values</v>
      </c>
      <c r="E3" s="16" t="str">
        <f t="shared" si="0"/>
        <v>Y Values</v>
      </c>
      <c r="F3" s="6"/>
      <c r="G3" s="6"/>
      <c r="H3" s="6"/>
      <c r="I3" s="6"/>
      <c r="J3" s="6" t="s">
        <v>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>
      <c r="A4" s="7"/>
      <c r="B4" s="7"/>
      <c r="C4" s="17"/>
      <c r="D4" s="7"/>
      <c r="E4" s="9"/>
      <c r="F4" s="6"/>
      <c r="G4" s="6"/>
      <c r="H4" s="6"/>
      <c r="I4" s="6"/>
      <c r="J4" s="55" t="str">
        <f t="array" ref="J4">IF(Guts!D32=4, INDEX(Guts!E23:E27,G13+1), INDEX({"y=A+Bx","y=A+Bx+Cx²","y=A+Bx+Cx²+Dx³"," ","y=Axᴮ","y=Aeᴮˣ","No Fitting"},Guts!D32))</f>
        <v>y=A+Bx+Cx²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>
      <c r="A5" s="7"/>
      <c r="B5" s="7"/>
      <c r="C5" s="17"/>
      <c r="D5" s="7"/>
      <c r="E5" s="9"/>
      <c r="F5" s="6"/>
      <c r="G5" s="6"/>
      <c r="H5" s="6"/>
      <c r="I5" s="6"/>
      <c r="J5" s="5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>
      <c r="A6" s="7"/>
      <c r="B6" s="7"/>
      <c r="C6" s="17"/>
      <c r="D6" s="7"/>
      <c r="E6" s="9"/>
      <c r="F6" s="6"/>
      <c r="G6" s="6"/>
      <c r="H6" s="6" t="s">
        <v>7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>
      <c r="A7" s="7"/>
      <c r="B7" s="7"/>
      <c r="C7" s="17"/>
      <c r="D7" s="7"/>
      <c r="E7" s="9"/>
      <c r="F7" s="6"/>
      <c r="G7" s="6"/>
      <c r="H7" s="18"/>
      <c r="I7" s="18" t="s">
        <v>8</v>
      </c>
      <c r="J7" s="18" t="s">
        <v>9</v>
      </c>
      <c r="K7" s="6" t="s">
        <v>10</v>
      </c>
      <c r="L7" s="19">
        <f>IFERROR(Guts!B50, "No fit")</f>
        <v>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>
      <c r="A8" s="7"/>
      <c r="B8" s="7"/>
      <c r="C8" s="17"/>
      <c r="D8" s="7"/>
      <c r="E8" s="9"/>
      <c r="F8" s="6"/>
      <c r="G8" s="6"/>
      <c r="H8" s="18" t="str">
        <f>IF(Guts!$D$32=4,MID("ABCDE",$G$13+1,1),IF(Guts!$D$32=7," ","A"))</f>
        <v>A</v>
      </c>
      <c r="I8" s="20">
        <f>IF(OR(Guts!D32=5,Guts!D32=6),IFERROR(EXP(Guts!$C$48), "Error: Check for negative values"),IFERROR(IF(Guts!D32=1,Guts!$C$48,IF(Guts!D32=4,Guts!$B$48,IF(Guts!D32=2,Guts!$D$48,IF(Guts!D32=3,Guts!$E$48," ")))),""))</f>
        <v>0</v>
      </c>
      <c r="J8" s="20">
        <f>IF(OR(Guts!D32=5, Guts!D32=6),IFERROR(I8*Guts!$C$49,""),IFERROR(IF(Guts!D32=1,Guts!$C$49,IF(Guts!D32=4,Guts!$B$49,IF(Guts!D32=2,Guts!$D$49,IF(Guts!D32=3,Guts!$E$49," ")))),""))</f>
        <v>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>
      <c r="A9" s="7"/>
      <c r="B9" s="7"/>
      <c r="C9" s="17"/>
      <c r="D9" s="7"/>
      <c r="E9" s="9"/>
      <c r="F9" s="6"/>
      <c r="G9" s="6"/>
      <c r="H9" s="18" t="str">
        <f>IF(Guts!$D$32=4," ",IF(Guts!$D$32=7," ","B"))</f>
        <v>B</v>
      </c>
      <c r="I9" s="20">
        <f>IF(OR(Guts!D32=5, Guts!D32=6),IFERROR(Guts!$B$48,"Error, check for negative values"),IFERROR(IF(Guts!D32=1,Guts!$B$48,IF(Guts!D32=2,Guts!$C$48,IF(Guts!D32=3,Guts!$D$48," ")))," "))</f>
        <v>0</v>
      </c>
      <c r="J9" s="20">
        <f>IF(OR(Guts!D32=5, Guts!D32=6),IFERROR(Guts!$B$49," "),IFERROR(IF(Guts!D32=1,Guts!$B$49,IF(Guts!D32=2,Guts!$C$49,IF(Guts!D32=3,Guts!$D$49," ")))," "))</f>
        <v>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>
      <c r="A10" s="7"/>
      <c r="B10" s="7"/>
      <c r="C10" s="17"/>
      <c r="D10" s="7"/>
      <c r="E10" s="9"/>
      <c r="F10" s="6"/>
      <c r="G10" s="6"/>
      <c r="H10" s="18" t="str">
        <f>IF(OR(Guts!$D$32=2,Guts!$D$32=3),"C"," ")</f>
        <v>C</v>
      </c>
      <c r="I10" s="20" t="str">
        <f ca="1">IFERROR(IF(Guts!$D$32=2,Guts!$B$48,IF(Guts!$D$32=3,Guts!$C$48," "))," ")</f>
        <v xml:space="preserve"> </v>
      </c>
      <c r="J10" s="20">
        <f>IFERROR(IF(Guts!$D$32=2,Guts!$B$49,IF(Guts!$D$32=3,Guts!$C$49," "))," ")</f>
        <v>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>
      <c r="A11" s="7"/>
      <c r="B11" s="7"/>
      <c r="C11" s="17"/>
      <c r="D11" s="7"/>
      <c r="E11" s="9"/>
      <c r="F11" s="6"/>
      <c r="G11" s="6"/>
      <c r="H11" s="21" t="str">
        <f>IF(Guts!$D$32=3,"D"," ")</f>
        <v xml:space="preserve"> </v>
      </c>
      <c r="I11" s="22" t="str">
        <f>IFERROR(IF(Guts!$D$32=3,Guts!$B$48," ")," ")</f>
        <v xml:space="preserve"> </v>
      </c>
      <c r="J11" s="20" t="str">
        <f>IFERROR(IF(Guts!$D$32=3,Guts!$B$49," ")," ")</f>
        <v xml:space="preserve"> 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>
      <c r="A12" s="7"/>
      <c r="B12" s="7"/>
      <c r="C12" s="17"/>
      <c r="D12" s="7"/>
      <c r="E12" s="9"/>
      <c r="F12" s="56" t="s">
        <v>11</v>
      </c>
      <c r="G12" s="5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>
      <c r="A13" s="7"/>
      <c r="B13" s="7"/>
      <c r="C13" s="17"/>
      <c r="D13" s="7"/>
      <c r="E13" s="9"/>
      <c r="F13" s="6"/>
      <c r="G13" s="57">
        <v>1</v>
      </c>
      <c r="H13" s="6" t="s">
        <v>12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>
      <c r="A14" s="9"/>
      <c r="B14" s="9"/>
      <c r="C14" s="17"/>
      <c r="D14" s="9"/>
      <c r="E14" s="9"/>
      <c r="F14" s="6"/>
      <c r="G14" s="52"/>
      <c r="H14" s="18"/>
      <c r="I14" s="18" t="s">
        <v>8</v>
      </c>
      <c r="J14" s="18" t="s">
        <v>9</v>
      </c>
      <c r="K14" s="6" t="s">
        <v>10</v>
      </c>
      <c r="L14" s="19">
        <f>IFERROR(Guts!B56, "No fit")</f>
        <v>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>
      <c r="A15" s="9"/>
      <c r="B15" s="9"/>
      <c r="C15" s="17"/>
      <c r="D15" s="9"/>
      <c r="E15" s="9"/>
      <c r="F15" s="6"/>
      <c r="G15" s="6"/>
      <c r="H15" s="18" t="str">
        <f t="shared" ref="H15:H18" si="1">H8</f>
        <v>A</v>
      </c>
      <c r="I15" s="20">
        <f>IF(OR(Guts!D32=5,Guts!D32=6),IFERROR(EXP(Guts!$C$54), "Error: Check for negative values"),IFERROR(IF(Guts!D32=1,Guts!$C$54,IF(Guts!D32=4,Guts!$B$54,IF(Guts!D32=2,Guts!$D$54,IF(Guts!D32=3,Guts!$E$54," ")))),""))</f>
        <v>0</v>
      </c>
      <c r="J15" s="20">
        <f>IF(OR(Guts!D32=5, Guts!D32=6),IFERROR(I15*Guts!$C$55,""),IFERROR(IF(Guts!D32=1,Guts!$C$55,IF(Guts!D32=4,Guts!$B$55,IF(Guts!D32=2,Guts!$D$55,IF(Guts!D32=3,Guts!$E$55," ")))),""))</f>
        <v>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>
      <c r="A16" s="9"/>
      <c r="B16" s="9"/>
      <c r="C16" s="17"/>
      <c r="D16" s="9"/>
      <c r="E16" s="9"/>
      <c r="F16" s="6"/>
      <c r="G16" s="6"/>
      <c r="H16" s="18" t="str">
        <f t="shared" si="1"/>
        <v>B</v>
      </c>
      <c r="I16" s="20">
        <f>IF(OR(Guts!D32=5, Guts!D32=6),IFERROR(Guts!$B$54,"Error, check for negative values"),IFERROR(IF(Guts!D32=1,Guts!$B$54,IF(Guts!D32=2,Guts!$C$54,IF(Guts!D32=3,Guts!$D$54," ")))," "))</f>
        <v>0</v>
      </c>
      <c r="J16" s="20">
        <f>IF(OR(Guts!D32=5, Guts!D32=6),IFERROR(Guts!$B$55," "),IFERROR(IF(Guts!D32=1,Guts!$B$55,IF(Guts!D32=2,Guts!$C$55,IF(Guts!D32=3,Guts!$D$55," ")))," "))</f>
        <v>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>
      <c r="A17" s="9"/>
      <c r="B17" s="9"/>
      <c r="C17" s="17"/>
      <c r="D17" s="9"/>
      <c r="E17" s="9"/>
      <c r="F17" s="6"/>
      <c r="G17" s="6"/>
      <c r="H17" s="18" t="str">
        <f t="shared" si="1"/>
        <v>C</v>
      </c>
      <c r="I17" s="20" t="str">
        <f ca="1">IFERROR(IF(Guts!$D$32=2,Guts!$B$54,IF(Guts!$D$32=3,Guts!$C$54," "))," ")</f>
        <v xml:space="preserve"> </v>
      </c>
      <c r="J17" s="20">
        <f>IFERROR(IF(Guts!$D$32=2,Guts!$B$55,IF(Guts!$D$32=3,Guts!$C$55," "))," ")</f>
        <v>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>
      <c r="A18" s="9"/>
      <c r="B18" s="9"/>
      <c r="C18" s="17"/>
      <c r="D18" s="9"/>
      <c r="E18" s="9"/>
      <c r="F18" s="6"/>
      <c r="G18" s="6"/>
      <c r="H18" s="21" t="str">
        <f t="shared" si="1"/>
        <v xml:space="preserve"> </v>
      </c>
      <c r="I18" s="22" t="str">
        <f>IFERROR(IF(Guts!$D$32=3,Guts!$B$54," ")," ")</f>
        <v xml:space="preserve"> </v>
      </c>
      <c r="J18" s="20" t="str">
        <f>IFERROR(IF(Guts!$D$32=3,Guts!$B$55," ")," ")</f>
        <v xml:space="preserve"> 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>
      <c r="A19" s="9"/>
      <c r="B19" s="9"/>
      <c r="C19" s="17"/>
      <c r="D19" s="9"/>
      <c r="E19" s="9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>
      <c r="A20" s="9"/>
      <c r="B20" s="9"/>
      <c r="C20" s="17"/>
      <c r="D20" s="9"/>
      <c r="E20" s="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>
      <c r="A21" s="9"/>
      <c r="B21" s="9"/>
      <c r="C21" s="17"/>
      <c r="D21" s="9"/>
      <c r="E21" s="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>
      <c r="A22" s="9"/>
      <c r="B22" s="9"/>
      <c r="C22" s="17"/>
      <c r="D22" s="9"/>
      <c r="E22" s="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>
      <c r="A23" s="9"/>
      <c r="B23" s="9"/>
      <c r="C23" s="17"/>
      <c r="D23" s="9"/>
      <c r="E23" s="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>
      <c r="A24" s="9"/>
      <c r="B24" s="9"/>
      <c r="C24" s="17"/>
      <c r="D24" s="9"/>
      <c r="E24" s="9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>
      <c r="A25" s="9"/>
      <c r="B25" s="9"/>
      <c r="C25" s="17"/>
      <c r="D25" s="9"/>
      <c r="E25" s="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>
      <c r="A26" s="9"/>
      <c r="B26" s="9"/>
      <c r="C26" s="17"/>
      <c r="D26" s="9"/>
      <c r="E26" s="9"/>
      <c r="F26" s="23"/>
      <c r="G26" s="24"/>
      <c r="H26" s="2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>
      <c r="A27" s="9"/>
      <c r="B27" s="9"/>
      <c r="C27" s="17"/>
      <c r="D27" s="9"/>
      <c r="E27" s="9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>
      <c r="A28" s="9"/>
      <c r="B28" s="9"/>
      <c r="C28" s="17"/>
      <c r="D28" s="9"/>
      <c r="E28" s="9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>
      <c r="A29" s="9"/>
      <c r="B29" s="9"/>
      <c r="C29" s="17"/>
      <c r="D29" s="9"/>
      <c r="E29" s="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>
      <c r="A30" s="9"/>
      <c r="B30" s="9"/>
      <c r="C30" s="17"/>
      <c r="D30" s="9"/>
      <c r="E30" s="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>
      <c r="A31" s="9"/>
      <c r="B31" s="9"/>
      <c r="C31" s="17"/>
      <c r="D31" s="9"/>
      <c r="E31" s="9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>
      <c r="A32" s="9"/>
      <c r="B32" s="9"/>
      <c r="C32" s="17"/>
      <c r="D32" s="9"/>
      <c r="E32" s="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>
      <c r="A33" s="9"/>
      <c r="B33" s="9"/>
      <c r="C33" s="17"/>
      <c r="D33" s="9"/>
      <c r="E33" s="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>
      <c r="A34" s="9"/>
      <c r="B34" s="9"/>
      <c r="C34" s="17"/>
      <c r="D34" s="9"/>
      <c r="E34" s="9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>
      <c r="A35" s="9"/>
      <c r="B35" s="9"/>
      <c r="C35" s="17"/>
      <c r="D35" s="9"/>
      <c r="E35" s="9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>
      <c r="A36" s="9"/>
      <c r="B36" s="9"/>
      <c r="C36" s="17"/>
      <c r="D36" s="9"/>
      <c r="E36" s="9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>
      <c r="A37" s="9"/>
      <c r="B37" s="9"/>
      <c r="C37" s="17"/>
      <c r="D37" s="9"/>
      <c r="E37" s="9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>
      <c r="A38" s="9"/>
      <c r="B38" s="9"/>
      <c r="C38" s="17"/>
      <c r="D38" s="9"/>
      <c r="E38" s="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>
      <c r="A39" s="9"/>
      <c r="B39" s="9"/>
      <c r="C39" s="17"/>
      <c r="D39" s="9"/>
      <c r="E39" s="9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>
      <c r="A40" s="9"/>
      <c r="B40" s="9"/>
      <c r="C40" s="17"/>
      <c r="D40" s="9"/>
      <c r="E40" s="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>
      <c r="A41" s="12"/>
      <c r="B41" s="12"/>
      <c r="C41" s="6"/>
      <c r="D41" s="12"/>
      <c r="E41" s="12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>
      <c r="A42" s="12"/>
      <c r="B42" s="12"/>
      <c r="C42" s="6"/>
      <c r="D42" s="12"/>
      <c r="E42" s="12"/>
      <c r="F42" s="6"/>
      <c r="G42" s="58"/>
      <c r="H42" s="5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>
      <c r="A43" s="12"/>
      <c r="B43" s="12"/>
      <c r="C43" s="6"/>
      <c r="D43" s="12"/>
      <c r="E43" s="12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>
      <c r="A44" s="12"/>
      <c r="B44" s="12"/>
      <c r="C44" s="6"/>
      <c r="D44" s="12"/>
      <c r="E44" s="12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>
      <c r="A45" s="12"/>
      <c r="B45" s="12"/>
      <c r="C45" s="6"/>
      <c r="D45" s="12"/>
      <c r="E45" s="12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>
      <c r="A46" s="12"/>
      <c r="B46" s="12"/>
      <c r="C46" s="6"/>
      <c r="D46" s="12"/>
      <c r="E46" s="12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>
      <c r="A47" s="12"/>
      <c r="B47" s="12"/>
      <c r="C47" s="6"/>
      <c r="D47" s="12"/>
      <c r="E47" s="1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>
      <c r="A48" s="12"/>
      <c r="B48" s="12"/>
      <c r="C48" s="6"/>
      <c r="D48" s="12"/>
      <c r="E48" s="12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>
      <c r="A49" s="12"/>
      <c r="B49" s="12"/>
      <c r="C49" s="6"/>
      <c r="D49" s="12"/>
      <c r="E49" s="12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>
      <c r="A50" s="12"/>
      <c r="B50" s="12"/>
      <c r="C50" s="6"/>
      <c r="D50" s="12"/>
      <c r="E50" s="12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>
      <c r="A51" s="12"/>
      <c r="B51" s="12"/>
      <c r="C51" s="6"/>
      <c r="D51" s="12"/>
      <c r="E51" s="12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>
      <c r="A52" s="12"/>
      <c r="B52" s="12"/>
      <c r="C52" s="6"/>
      <c r="D52" s="12"/>
      <c r="E52" s="12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>
      <c r="A53" s="12"/>
      <c r="B53" s="12"/>
      <c r="C53" s="6"/>
      <c r="D53" s="12"/>
      <c r="E53" s="12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>
      <c r="A54" s="12"/>
      <c r="B54" s="12"/>
      <c r="C54" s="6"/>
      <c r="D54" s="12"/>
      <c r="E54" s="12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>
      <c r="A55" s="12"/>
      <c r="B55" s="12"/>
      <c r="C55" s="6"/>
      <c r="D55" s="12"/>
      <c r="E55" s="12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>
      <c r="A56" s="12"/>
      <c r="B56" s="12"/>
      <c r="C56" s="6"/>
      <c r="D56" s="12"/>
      <c r="E56" s="12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>
      <c r="A57" s="12"/>
      <c r="B57" s="12"/>
      <c r="C57" s="6"/>
      <c r="D57" s="12"/>
      <c r="E57" s="1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>
      <c r="A58" s="12"/>
      <c r="B58" s="12"/>
      <c r="C58" s="6"/>
      <c r="D58" s="12"/>
      <c r="E58" s="12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>
      <c r="A59" s="12"/>
      <c r="B59" s="12"/>
      <c r="C59" s="6"/>
      <c r="D59" s="12"/>
      <c r="E59" s="12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>
      <c r="A60" s="12"/>
      <c r="B60" s="12"/>
      <c r="C60" s="6"/>
      <c r="D60" s="12"/>
      <c r="E60" s="12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>
      <c r="A61" s="12"/>
      <c r="B61" s="12"/>
      <c r="C61" s="6"/>
      <c r="D61" s="12"/>
      <c r="E61" s="12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>
      <c r="A62" s="12"/>
      <c r="B62" s="12"/>
      <c r="C62" s="6"/>
      <c r="D62" s="12"/>
      <c r="E62" s="12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>
      <c r="A63" s="12"/>
      <c r="B63" s="12"/>
      <c r="C63" s="6"/>
      <c r="D63" s="12"/>
      <c r="E63" s="12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>
      <c r="A64" s="12"/>
      <c r="B64" s="12"/>
      <c r="C64" s="6"/>
      <c r="D64" s="12"/>
      <c r="E64" s="12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>
      <c r="A65" s="12"/>
      <c r="B65" s="12"/>
      <c r="C65" s="6"/>
      <c r="D65" s="12"/>
      <c r="E65" s="12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>
      <c r="A66" s="12"/>
      <c r="B66" s="12"/>
      <c r="C66" s="6"/>
      <c r="D66" s="12"/>
      <c r="E66" s="12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>
      <c r="A67" s="12"/>
      <c r="B67" s="12"/>
      <c r="C67" s="6"/>
      <c r="D67" s="12"/>
      <c r="E67" s="12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>
      <c r="A68" s="12"/>
      <c r="B68" s="12"/>
      <c r="C68" s="6"/>
      <c r="D68" s="12"/>
      <c r="E68" s="12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>
      <c r="A69" s="12"/>
      <c r="B69" s="12"/>
      <c r="C69" s="6"/>
      <c r="D69" s="12"/>
      <c r="E69" s="12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>
      <c r="A70" s="12"/>
      <c r="B70" s="12"/>
      <c r="C70" s="6"/>
      <c r="D70" s="12"/>
      <c r="E70" s="12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>
      <c r="A71" s="12"/>
      <c r="B71" s="12"/>
      <c r="C71" s="6"/>
      <c r="D71" s="12"/>
      <c r="E71" s="12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>
      <c r="A72" s="12"/>
      <c r="B72" s="12"/>
      <c r="C72" s="6"/>
      <c r="D72" s="12"/>
      <c r="E72" s="12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>
      <c r="A73" s="12"/>
      <c r="B73" s="12"/>
      <c r="C73" s="6"/>
      <c r="D73" s="12"/>
      <c r="E73" s="12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>
      <c r="A74" s="12"/>
      <c r="B74" s="12"/>
      <c r="C74" s="6"/>
      <c r="D74" s="12"/>
      <c r="E74" s="12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>
      <c r="A75" s="12"/>
      <c r="B75" s="12"/>
      <c r="C75" s="6"/>
      <c r="D75" s="12"/>
      <c r="E75" s="12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>
      <c r="A76" s="12"/>
      <c r="B76" s="12"/>
      <c r="C76" s="6"/>
      <c r="D76" s="12"/>
      <c r="E76" s="12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>
      <c r="A77" s="12"/>
      <c r="B77" s="12"/>
      <c r="C77" s="6"/>
      <c r="D77" s="12"/>
      <c r="E77" s="12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>
      <c r="A78" s="12"/>
      <c r="B78" s="12"/>
      <c r="C78" s="6"/>
      <c r="D78" s="12"/>
      <c r="E78" s="12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>
      <c r="A79" s="12"/>
      <c r="B79" s="12"/>
      <c r="C79" s="6"/>
      <c r="D79" s="12"/>
      <c r="E79" s="12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>
      <c r="A80" s="12"/>
      <c r="B80" s="12"/>
      <c r="C80" s="6"/>
      <c r="D80" s="12"/>
      <c r="E80" s="12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>
      <c r="A81" s="12"/>
      <c r="B81" s="12"/>
      <c r="C81" s="6"/>
      <c r="D81" s="12"/>
      <c r="E81" s="12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>
      <c r="A82" s="12"/>
      <c r="B82" s="12"/>
      <c r="C82" s="6"/>
      <c r="D82" s="12"/>
      <c r="E82" s="12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>
      <c r="A83" s="12"/>
      <c r="B83" s="12"/>
      <c r="C83" s="6"/>
      <c r="D83" s="12"/>
      <c r="E83" s="12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>
      <c r="A84" s="12"/>
      <c r="B84" s="12"/>
      <c r="C84" s="6"/>
      <c r="D84" s="12"/>
      <c r="E84" s="12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>
      <c r="A85" s="12"/>
      <c r="B85" s="12"/>
      <c r="C85" s="6"/>
      <c r="D85" s="12"/>
      <c r="E85" s="12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>
      <c r="A86" s="12"/>
      <c r="B86" s="12"/>
      <c r="C86" s="6"/>
      <c r="D86" s="12"/>
      <c r="E86" s="12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>
      <c r="A87" s="12"/>
      <c r="B87" s="12"/>
      <c r="C87" s="6"/>
      <c r="D87" s="12"/>
      <c r="E87" s="12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>
      <c r="A88" s="12"/>
      <c r="B88" s="12"/>
      <c r="C88" s="6"/>
      <c r="D88" s="12"/>
      <c r="E88" s="12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>
      <c r="A89" s="12"/>
      <c r="B89" s="12"/>
      <c r="C89" s="6"/>
      <c r="D89" s="12"/>
      <c r="E89" s="12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>
      <c r="A90" s="12"/>
      <c r="B90" s="12"/>
      <c r="C90" s="6"/>
      <c r="D90" s="12"/>
      <c r="E90" s="12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>
      <c r="A91" s="12"/>
      <c r="B91" s="12"/>
      <c r="C91" s="6"/>
      <c r="D91" s="12"/>
      <c r="E91" s="12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>
      <c r="A92" s="12"/>
      <c r="B92" s="12"/>
      <c r="C92" s="6"/>
      <c r="D92" s="12"/>
      <c r="E92" s="12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>
      <c r="A93" s="12"/>
      <c r="B93" s="12"/>
      <c r="C93" s="6"/>
      <c r="D93" s="12"/>
      <c r="E93" s="12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>
      <c r="A94" s="12"/>
      <c r="B94" s="12"/>
      <c r="C94" s="6"/>
      <c r="D94" s="12"/>
      <c r="E94" s="12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>
      <c r="A95" s="12"/>
      <c r="B95" s="12"/>
      <c r="C95" s="6"/>
      <c r="D95" s="12"/>
      <c r="E95" s="12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>
      <c r="A96" s="12"/>
      <c r="B96" s="12"/>
      <c r="C96" s="6"/>
      <c r="D96" s="12"/>
      <c r="E96" s="12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>
      <c r="A97" s="12"/>
      <c r="B97" s="12"/>
      <c r="C97" s="6"/>
      <c r="D97" s="12"/>
      <c r="E97" s="12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>
      <c r="A98" s="12"/>
      <c r="B98" s="12"/>
      <c r="C98" s="6"/>
      <c r="D98" s="12"/>
      <c r="E98" s="12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>
      <c r="A99" s="12"/>
      <c r="B99" s="12"/>
      <c r="C99" s="6"/>
      <c r="D99" s="12"/>
      <c r="E99" s="12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>
      <c r="A100" s="12"/>
      <c r="B100" s="12"/>
      <c r="C100" s="6"/>
      <c r="D100" s="12"/>
      <c r="E100" s="12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>
      <c r="A101" s="12"/>
      <c r="B101" s="12"/>
      <c r="C101" s="6"/>
      <c r="D101" s="12"/>
      <c r="E101" s="12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>
      <c r="A102" s="12"/>
      <c r="B102" s="12"/>
      <c r="C102" s="6"/>
      <c r="D102" s="12"/>
      <c r="E102" s="12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>
      <c r="A103" s="12"/>
      <c r="B103" s="12"/>
      <c r="C103" s="6"/>
      <c r="D103" s="12"/>
      <c r="E103" s="12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>
      <c r="A104" s="12"/>
      <c r="B104" s="12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>
      <c r="A105" s="12"/>
      <c r="B105" s="12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>
      <c r="A106" s="12"/>
      <c r="B106" s="12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>
      <c r="A107" s="12"/>
      <c r="B107" s="12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>
      <c r="A108" s="12"/>
      <c r="B108" s="12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>
      <c r="A109" s="12"/>
      <c r="B109" s="12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>
      <c r="A110" s="12"/>
      <c r="B110" s="12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>
      <c r="A111" s="12"/>
      <c r="B111" s="12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>
      <c r="A112" s="12"/>
      <c r="B112" s="12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>
      <c r="A113" s="12"/>
      <c r="B113" s="12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>
      <c r="A114" s="12"/>
      <c r="B114" s="12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>
      <c r="A115" s="12"/>
      <c r="B115" s="12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>
      <c r="A116" s="12"/>
      <c r="B116" s="12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>
      <c r="A117" s="12"/>
      <c r="B117" s="12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>
      <c r="A118" s="12"/>
      <c r="B118" s="12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>
      <c r="A119" s="12"/>
      <c r="B119" s="12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>
      <c r="A120" s="12"/>
      <c r="B120" s="12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>
      <c r="A121" s="12"/>
      <c r="B121" s="12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>
      <c r="A122" s="12"/>
      <c r="B122" s="12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>
      <c r="A123" s="12"/>
      <c r="B123" s="12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>
      <c r="A124" s="12"/>
      <c r="B124" s="12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>
      <c r="A125" s="12"/>
      <c r="B125" s="12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>
      <c r="A126" s="12"/>
      <c r="B126" s="12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>
      <c r="A127" s="12"/>
      <c r="B127" s="12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>
      <c r="A128" s="12"/>
      <c r="B128" s="12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>
      <c r="A129" s="12"/>
      <c r="B129" s="12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>
      <c r="A130" s="12"/>
      <c r="B130" s="12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>
      <c r="A131" s="12"/>
      <c r="B131" s="12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>
      <c r="A132" s="12"/>
      <c r="B132" s="12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>
      <c r="A133" s="12"/>
      <c r="B133" s="12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>
      <c r="A134" s="12"/>
      <c r="B134" s="12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>
      <c r="A135" s="12"/>
      <c r="B135" s="12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>
      <c r="A136" s="12"/>
      <c r="B136" s="12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>
      <c r="A137" s="12"/>
      <c r="B137" s="12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>
      <c r="A138" s="12"/>
      <c r="B138" s="12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>
      <c r="A139" s="12"/>
      <c r="B139" s="12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>
      <c r="A140" s="12"/>
      <c r="B140" s="12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>
      <c r="A141" s="12"/>
      <c r="B141" s="12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>
      <c r="A142" s="12"/>
      <c r="B142" s="12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>
      <c r="A143" s="12"/>
      <c r="B143" s="12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>
      <c r="A144" s="12"/>
      <c r="B144" s="12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>
      <c r="A145" s="12"/>
      <c r="B145" s="12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>
      <c r="A146" s="12"/>
      <c r="B146" s="12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>
      <c r="A147" s="12"/>
      <c r="B147" s="12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>
      <c r="A148" s="12"/>
      <c r="B148" s="12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>
      <c r="A149" s="12"/>
      <c r="B149" s="12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>
      <c r="A150" s="12"/>
      <c r="B150" s="12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>
      <c r="A151" s="12"/>
      <c r="B151" s="12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>
      <c r="A152" s="12"/>
      <c r="B152" s="12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>
      <c r="A153" s="12"/>
      <c r="B153" s="12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>
      <c r="A154" s="12"/>
      <c r="B154" s="12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>
      <c r="A155" s="12"/>
      <c r="B155" s="12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>
      <c r="A156" s="12"/>
      <c r="B156" s="12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>
      <c r="A157" s="12"/>
      <c r="B157" s="12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>
      <c r="A158" s="12"/>
      <c r="B158" s="12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>
      <c r="A159" s="12"/>
      <c r="B159" s="12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>
      <c r="A160" s="12"/>
      <c r="B160" s="12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>
      <c r="A161" s="12"/>
      <c r="B161" s="12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>
      <c r="A162" s="12"/>
      <c r="B162" s="12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>
      <c r="A163" s="12"/>
      <c r="B163" s="12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>
      <c r="A164" s="12"/>
      <c r="B164" s="12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>
      <c r="A165" s="12"/>
      <c r="B165" s="12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>
      <c r="A166" s="12"/>
      <c r="B166" s="12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>
      <c r="A167" s="12"/>
      <c r="B167" s="12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>
      <c r="A168" s="12"/>
      <c r="B168" s="12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>
      <c r="A169" s="12"/>
      <c r="B169" s="12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>
      <c r="A170" s="12"/>
      <c r="B170" s="12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>
      <c r="A171" s="12"/>
      <c r="B171" s="12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>
      <c r="A172" s="12"/>
      <c r="B172" s="12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>
      <c r="A173" s="12"/>
      <c r="B173" s="12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>
      <c r="A174" s="12"/>
      <c r="B174" s="12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>
      <c r="A175" s="12"/>
      <c r="B175" s="12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>
      <c r="A176" s="12"/>
      <c r="B176" s="12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>
      <c r="A177" s="12"/>
      <c r="B177" s="12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>
      <c r="A178" s="12"/>
      <c r="B178" s="12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>
      <c r="A179" s="12"/>
      <c r="B179" s="12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>
      <c r="A180" s="12"/>
      <c r="B180" s="12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>
      <c r="A181" s="12"/>
      <c r="B181" s="12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>
      <c r="A182" s="12"/>
      <c r="B182" s="12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>
      <c r="A183" s="12"/>
      <c r="B183" s="12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>
      <c r="A184" s="12"/>
      <c r="B184" s="12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>
      <c r="A185" s="12"/>
      <c r="B185" s="12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>
      <c r="A186" s="12"/>
      <c r="B186" s="12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>
      <c r="A187" s="12"/>
      <c r="B187" s="12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>
      <c r="A188" s="12"/>
      <c r="B188" s="12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>
      <c r="A189" s="12"/>
      <c r="B189" s="12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>
      <c r="A190" s="12"/>
      <c r="B190" s="12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>
      <c r="A191" s="12"/>
      <c r="B191" s="12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>
      <c r="A192" s="12"/>
      <c r="B192" s="12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>
      <c r="A193" s="12"/>
      <c r="B193" s="12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>
      <c r="A194" s="12"/>
      <c r="B194" s="12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>
      <c r="A195" s="12"/>
      <c r="B195" s="12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>
      <c r="A196" s="12"/>
      <c r="B196" s="12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>
      <c r="A197" s="12"/>
      <c r="B197" s="12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>
      <c r="A198" s="12"/>
      <c r="B198" s="12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>
      <c r="A199" s="12"/>
      <c r="B199" s="12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>
      <c r="A200" s="12"/>
      <c r="B200" s="12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>
      <c r="A201" s="12"/>
      <c r="B201" s="12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>
      <c r="A202" s="12"/>
      <c r="B202" s="12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>
      <c r="A203" s="12"/>
      <c r="B203" s="12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>
      <c r="A204" s="12"/>
      <c r="B204" s="12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>
      <c r="A205" s="12"/>
      <c r="B205" s="12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>
      <c r="A206" s="12"/>
      <c r="B206" s="12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>
      <c r="A207" s="12"/>
      <c r="B207" s="12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>
      <c r="A208" s="12"/>
      <c r="B208" s="12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>
      <c r="A209" s="12"/>
      <c r="B209" s="12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>
      <c r="A210" s="12"/>
      <c r="B210" s="12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>
      <c r="A211" s="12"/>
      <c r="B211" s="12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>
      <c r="A212" s="12"/>
      <c r="B212" s="12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>
      <c r="A213" s="12"/>
      <c r="B213" s="12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>
      <c r="A214" s="12"/>
      <c r="B214" s="12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>
      <c r="A215" s="12"/>
      <c r="B215" s="12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>
      <c r="A216" s="12"/>
      <c r="B216" s="12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>
      <c r="A217" s="12"/>
      <c r="B217" s="12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>
      <c r="A218" s="12"/>
      <c r="B218" s="12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>
      <c r="A219" s="12"/>
      <c r="B219" s="12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>
      <c r="A220" s="12"/>
      <c r="B220" s="12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>
      <c r="A221" s="12"/>
      <c r="B221" s="12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>
      <c r="A222" s="12"/>
      <c r="B222" s="12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>
      <c r="A223" s="12"/>
      <c r="B223" s="12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>
      <c r="A224" s="12"/>
      <c r="B224" s="12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>
      <c r="A225" s="12"/>
      <c r="B225" s="12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>
      <c r="A226" s="12"/>
      <c r="B226" s="12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>
      <c r="A227" s="12"/>
      <c r="B227" s="12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>
      <c r="A228" s="12"/>
      <c r="B228" s="12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>
      <c r="A229" s="12"/>
      <c r="B229" s="12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>
      <c r="A230" s="12"/>
      <c r="B230" s="12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>
      <c r="A231" s="12"/>
      <c r="B231" s="12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>
      <c r="A232" s="12"/>
      <c r="B232" s="12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>
      <c r="A233" s="12"/>
      <c r="B233" s="12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>
      <c r="A234" s="12"/>
      <c r="B234" s="12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>
      <c r="A235" s="12"/>
      <c r="B235" s="12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>
      <c r="A236" s="12"/>
      <c r="B236" s="12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>
      <c r="A237" s="12"/>
      <c r="B237" s="12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>
      <c r="A238" s="12"/>
      <c r="B238" s="12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>
      <c r="A239" s="12"/>
      <c r="B239" s="12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>
      <c r="A240" s="12"/>
      <c r="B240" s="12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>
      <c r="A241" s="12"/>
      <c r="B241" s="12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>
      <c r="A242" s="12"/>
      <c r="B242" s="12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>
      <c r="A243" s="12"/>
      <c r="B243" s="12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>
      <c r="A244" s="12"/>
      <c r="B244" s="12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>
      <c r="A245" s="12"/>
      <c r="B245" s="12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>
      <c r="A246" s="12"/>
      <c r="B246" s="12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>
      <c r="A247" s="12"/>
      <c r="B247" s="12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>
      <c r="A248" s="12"/>
      <c r="B248" s="12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>
      <c r="A249" s="12"/>
      <c r="B249" s="12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>
      <c r="A250" s="12"/>
      <c r="B250" s="12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>
      <c r="A251" s="12"/>
      <c r="B251" s="12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>
      <c r="A252" s="12"/>
      <c r="B252" s="12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>
      <c r="A253" s="12"/>
      <c r="B253" s="12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>
      <c r="A254" s="12"/>
      <c r="B254" s="12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>
      <c r="A255" s="12"/>
      <c r="B255" s="12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>
      <c r="A256" s="12"/>
      <c r="B256" s="12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>
      <c r="A257" s="12"/>
      <c r="B257" s="12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>
      <c r="A258" s="12"/>
      <c r="B258" s="12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>
      <c r="A259" s="12"/>
      <c r="B259" s="12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>
      <c r="A260" s="12"/>
      <c r="B260" s="12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>
      <c r="A261" s="12"/>
      <c r="B261" s="12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>
      <c r="A262" s="12"/>
      <c r="B262" s="12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>
      <c r="A263" s="12"/>
      <c r="B263" s="12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>
      <c r="A264" s="12"/>
      <c r="B264" s="12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>
      <c r="A265" s="12"/>
      <c r="B265" s="12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>
      <c r="A266" s="12"/>
      <c r="B266" s="12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>
      <c r="A267" s="12"/>
      <c r="B267" s="12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>
      <c r="A268" s="12"/>
      <c r="B268" s="12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>
      <c r="A269" s="12"/>
      <c r="B269" s="12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>
      <c r="A270" s="12"/>
      <c r="B270" s="12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>
      <c r="A271" s="12"/>
      <c r="B271" s="12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>
      <c r="A272" s="12"/>
      <c r="B272" s="12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>
      <c r="A273" s="12"/>
      <c r="B273" s="12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>
      <c r="A274" s="12"/>
      <c r="B274" s="12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>
      <c r="A275" s="12"/>
      <c r="B275" s="12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>
      <c r="A276" s="12"/>
      <c r="B276" s="12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>
      <c r="A277" s="12"/>
      <c r="B277" s="12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>
      <c r="A278" s="12"/>
      <c r="B278" s="12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>
      <c r="A279" s="12"/>
      <c r="B279" s="12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>
      <c r="A280" s="12"/>
      <c r="B280" s="12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>
      <c r="A281" s="12"/>
      <c r="B281" s="12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>
      <c r="A282" s="12"/>
      <c r="B282" s="12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>
      <c r="A283" s="12"/>
      <c r="B283" s="12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>
      <c r="A284" s="12"/>
      <c r="B284" s="12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>
      <c r="A285" s="12"/>
      <c r="B285" s="12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>
      <c r="A286" s="12"/>
      <c r="B286" s="12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>
      <c r="A287" s="12"/>
      <c r="B287" s="12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>
      <c r="A288" s="12"/>
      <c r="B288" s="12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>
      <c r="A289" s="12"/>
      <c r="B289" s="12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>
      <c r="A290" s="12"/>
      <c r="B290" s="12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>
      <c r="A291" s="12"/>
      <c r="B291" s="12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>
      <c r="A292" s="12"/>
      <c r="B292" s="12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>
      <c r="A293" s="12"/>
      <c r="B293" s="12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>
      <c r="A294" s="12"/>
      <c r="B294" s="12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>
      <c r="A295" s="12"/>
      <c r="B295" s="12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>
      <c r="A296" s="12"/>
      <c r="B296" s="12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>
      <c r="A297" s="12"/>
      <c r="B297" s="12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>
      <c r="A298" s="12"/>
      <c r="B298" s="12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>
      <c r="A299" s="12"/>
      <c r="B299" s="12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>
      <c r="A300" s="12"/>
      <c r="B300" s="12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>
      <c r="A301" s="12"/>
      <c r="B301" s="12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>
      <c r="A302" s="12"/>
      <c r="B302" s="12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>
      <c r="A303" s="12"/>
      <c r="B303" s="12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>
      <c r="A304" s="12"/>
      <c r="B304" s="12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>
      <c r="A305" s="12"/>
      <c r="B305" s="12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>
      <c r="A306" s="12"/>
      <c r="B306" s="12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>
      <c r="A307" s="12"/>
      <c r="B307" s="12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>
      <c r="A308" s="12"/>
      <c r="B308" s="12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>
      <c r="A309" s="12"/>
      <c r="B309" s="12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>
      <c r="A310" s="12"/>
      <c r="B310" s="12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>
      <c r="A311" s="12"/>
      <c r="B311" s="12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>
      <c r="A312" s="12"/>
      <c r="B312" s="12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>
      <c r="A313" s="12"/>
      <c r="B313" s="12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>
      <c r="A314" s="12"/>
      <c r="B314" s="12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>
      <c r="A315" s="12"/>
      <c r="B315" s="12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>
      <c r="A316" s="12"/>
      <c r="B316" s="12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>
      <c r="A317" s="12"/>
      <c r="B317" s="12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>
      <c r="A318" s="12"/>
      <c r="B318" s="12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>
      <c r="A319" s="12"/>
      <c r="B319" s="12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>
      <c r="A320" s="12"/>
      <c r="B320" s="12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>
      <c r="A321" s="12"/>
      <c r="B321" s="12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>
      <c r="A322" s="12"/>
      <c r="B322" s="12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>
      <c r="A323" s="12"/>
      <c r="B323" s="12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>
      <c r="A324" s="12"/>
      <c r="B324" s="12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>
      <c r="A325" s="12"/>
      <c r="B325" s="12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>
      <c r="A326" s="12"/>
      <c r="B326" s="12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>
      <c r="A327" s="12"/>
      <c r="B327" s="12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>
      <c r="A328" s="12"/>
      <c r="B328" s="12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>
      <c r="A329" s="12"/>
      <c r="B329" s="12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>
      <c r="A330" s="12"/>
      <c r="B330" s="12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>
      <c r="A331" s="12"/>
      <c r="B331" s="12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>
      <c r="A332" s="12"/>
      <c r="B332" s="12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>
      <c r="A333" s="12"/>
      <c r="B333" s="12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>
      <c r="A334" s="12"/>
      <c r="B334" s="12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>
      <c r="A335" s="12"/>
      <c r="B335" s="12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>
      <c r="A336" s="12"/>
      <c r="B336" s="12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>
      <c r="A337" s="12"/>
      <c r="B337" s="12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>
      <c r="A338" s="12"/>
      <c r="B338" s="12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>
      <c r="A339" s="12"/>
      <c r="B339" s="12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>
      <c r="A340" s="12"/>
      <c r="B340" s="12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>
      <c r="A341" s="12"/>
      <c r="B341" s="12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>
      <c r="A342" s="12"/>
      <c r="B342" s="12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>
      <c r="A343" s="12"/>
      <c r="B343" s="12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>
      <c r="A344" s="12"/>
      <c r="B344" s="12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>
      <c r="A345" s="12"/>
      <c r="B345" s="12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>
      <c r="A346" s="12"/>
      <c r="B346" s="12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>
      <c r="A347" s="12"/>
      <c r="B347" s="12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>
      <c r="A348" s="12"/>
      <c r="B348" s="12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>
      <c r="A349" s="12"/>
      <c r="B349" s="12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>
      <c r="A350" s="12"/>
      <c r="B350" s="12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>
      <c r="A351" s="12"/>
      <c r="B351" s="12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>
      <c r="A352" s="12"/>
      <c r="B352" s="12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>
      <c r="A353" s="12"/>
      <c r="B353" s="12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>
      <c r="A354" s="12"/>
      <c r="B354" s="12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>
      <c r="A355" s="12"/>
      <c r="B355" s="12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>
      <c r="A356" s="12"/>
      <c r="B356" s="12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>
      <c r="A357" s="12"/>
      <c r="B357" s="12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>
      <c r="A358" s="12"/>
      <c r="B358" s="12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>
      <c r="A359" s="12"/>
      <c r="B359" s="12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>
      <c r="A360" s="12"/>
      <c r="B360" s="12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>
      <c r="A361" s="12"/>
      <c r="B361" s="12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>
      <c r="A362" s="12"/>
      <c r="B362" s="12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>
      <c r="A363" s="12"/>
      <c r="B363" s="12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>
      <c r="A364" s="12"/>
      <c r="B364" s="12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>
      <c r="A365" s="12"/>
      <c r="B365" s="12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>
      <c r="A366" s="12"/>
      <c r="B366" s="12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>
      <c r="A367" s="12"/>
      <c r="B367" s="12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>
      <c r="A368" s="12"/>
      <c r="B368" s="12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>
      <c r="A369" s="12"/>
      <c r="B369" s="12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>
      <c r="A370" s="12"/>
      <c r="B370" s="12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>
      <c r="A371" s="12"/>
      <c r="B371" s="12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>
      <c r="A372" s="12"/>
      <c r="B372" s="12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>
      <c r="A373" s="12"/>
      <c r="B373" s="12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>
      <c r="A374" s="12"/>
      <c r="B374" s="12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>
      <c r="A375" s="12"/>
      <c r="B375" s="12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>
      <c r="A376" s="12"/>
      <c r="B376" s="12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>
      <c r="A377" s="12"/>
      <c r="B377" s="12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>
      <c r="A378" s="12"/>
      <c r="B378" s="12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>
      <c r="A379" s="12"/>
      <c r="B379" s="12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>
      <c r="A380" s="12"/>
      <c r="B380" s="12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>
      <c r="A381" s="12"/>
      <c r="B381" s="12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>
      <c r="A382" s="12"/>
      <c r="B382" s="12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>
      <c r="A383" s="12"/>
      <c r="B383" s="12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>
      <c r="A384" s="12"/>
      <c r="B384" s="12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>
      <c r="A385" s="12"/>
      <c r="B385" s="12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>
      <c r="A386" s="12"/>
      <c r="B386" s="12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>
      <c r="A387" s="12"/>
      <c r="B387" s="12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>
      <c r="A388" s="12"/>
      <c r="B388" s="12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>
      <c r="A389" s="12"/>
      <c r="B389" s="12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>
      <c r="A390" s="12"/>
      <c r="B390" s="12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>
      <c r="A391" s="12"/>
      <c r="B391" s="12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>
      <c r="A392" s="12"/>
      <c r="B392" s="12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>
      <c r="A393" s="12"/>
      <c r="B393" s="12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>
      <c r="A394" s="12"/>
      <c r="B394" s="12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>
      <c r="A395" s="12"/>
      <c r="B395" s="12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>
      <c r="A396" s="12"/>
      <c r="B396" s="12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>
      <c r="A397" s="12"/>
      <c r="B397" s="12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>
      <c r="A398" s="12"/>
      <c r="B398" s="12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>
      <c r="A399" s="12"/>
      <c r="B399" s="12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>
      <c r="A400" s="12"/>
      <c r="B400" s="12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>
      <c r="A401" s="12"/>
      <c r="B401" s="12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>
      <c r="A402" s="12"/>
      <c r="B402" s="12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>
      <c r="A403" s="12"/>
      <c r="B403" s="12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>
      <c r="A404" s="12"/>
      <c r="B404" s="12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>
      <c r="A405" s="12"/>
      <c r="B405" s="12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>
      <c r="A406" s="12"/>
      <c r="B406" s="12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>
      <c r="A407" s="12"/>
      <c r="B407" s="12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>
      <c r="A408" s="12"/>
      <c r="B408" s="12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>
      <c r="A409" s="12"/>
      <c r="B409" s="12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>
      <c r="A410" s="12"/>
      <c r="B410" s="12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>
      <c r="A411" s="12"/>
      <c r="B411" s="12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>
      <c r="A412" s="12"/>
      <c r="B412" s="12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>
      <c r="A413" s="12"/>
      <c r="B413" s="12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>
      <c r="A414" s="12"/>
      <c r="B414" s="12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>
      <c r="A415" s="12"/>
      <c r="B415" s="12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>
      <c r="A416" s="12"/>
      <c r="B416" s="12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>
      <c r="A417" s="12"/>
      <c r="B417" s="12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>
      <c r="A418" s="12"/>
      <c r="B418" s="12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>
      <c r="A419" s="12"/>
      <c r="B419" s="12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>
      <c r="A420" s="12"/>
      <c r="B420" s="12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>
      <c r="A421" s="12"/>
      <c r="B421" s="12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>
      <c r="A422" s="12"/>
      <c r="B422" s="12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>
      <c r="A423" s="12"/>
      <c r="B423" s="12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>
      <c r="A424" s="12"/>
      <c r="B424" s="12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>
      <c r="A425" s="12"/>
      <c r="B425" s="12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>
      <c r="A426" s="12"/>
      <c r="B426" s="12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>
      <c r="A427" s="12"/>
      <c r="B427" s="12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>
      <c r="A428" s="12"/>
      <c r="B428" s="12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>
      <c r="A429" s="12"/>
      <c r="B429" s="12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>
      <c r="A430" s="12"/>
      <c r="B430" s="12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>
      <c r="A431" s="12"/>
      <c r="B431" s="12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>
      <c r="A432" s="12"/>
      <c r="B432" s="12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>
      <c r="A433" s="12"/>
      <c r="B433" s="12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>
      <c r="A434" s="12"/>
      <c r="B434" s="12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>
      <c r="A435" s="12"/>
      <c r="B435" s="12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>
      <c r="A436" s="12"/>
      <c r="B436" s="12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>
      <c r="A437" s="12"/>
      <c r="B437" s="12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>
      <c r="A438" s="12"/>
      <c r="B438" s="12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>
      <c r="A439" s="12"/>
      <c r="B439" s="12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>
      <c r="A440" s="12"/>
      <c r="B440" s="12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>
      <c r="A441" s="12"/>
      <c r="B441" s="12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>
      <c r="A442" s="12"/>
      <c r="B442" s="12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>
      <c r="A443" s="12"/>
      <c r="B443" s="12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>
      <c r="A444" s="12"/>
      <c r="B444" s="12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>
      <c r="A445" s="12"/>
      <c r="B445" s="12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>
      <c r="A446" s="12"/>
      <c r="B446" s="12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>
      <c r="A447" s="12"/>
      <c r="B447" s="12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>
      <c r="A448" s="12"/>
      <c r="B448" s="12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>
      <c r="A449" s="12"/>
      <c r="B449" s="12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>
      <c r="A450" s="12"/>
      <c r="B450" s="12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>
      <c r="A451" s="12"/>
      <c r="B451" s="12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>
      <c r="A452" s="12"/>
      <c r="B452" s="12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>
      <c r="A453" s="12"/>
      <c r="B453" s="12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>
      <c r="A454" s="12"/>
      <c r="B454" s="12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>
      <c r="A455" s="12"/>
      <c r="B455" s="12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>
      <c r="A456" s="12"/>
      <c r="B456" s="12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>
      <c r="A457" s="12"/>
      <c r="B457" s="12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>
      <c r="A458" s="12"/>
      <c r="B458" s="12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>
      <c r="A459" s="12"/>
      <c r="B459" s="12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>
      <c r="A460" s="12"/>
      <c r="B460" s="12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>
      <c r="A461" s="12"/>
      <c r="B461" s="12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>
      <c r="A462" s="12"/>
      <c r="B462" s="12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>
      <c r="A463" s="12"/>
      <c r="B463" s="12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>
      <c r="A464" s="12"/>
      <c r="B464" s="12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>
      <c r="A465" s="12"/>
      <c r="B465" s="12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>
      <c r="A466" s="12"/>
      <c r="B466" s="12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>
      <c r="A467" s="12"/>
      <c r="B467" s="12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>
      <c r="A468" s="12"/>
      <c r="B468" s="12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>
      <c r="A469" s="12"/>
      <c r="B469" s="12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>
      <c r="A470" s="12"/>
      <c r="B470" s="12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>
      <c r="A471" s="12"/>
      <c r="B471" s="12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>
      <c r="A472" s="12"/>
      <c r="B472" s="12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>
      <c r="A473" s="12"/>
      <c r="B473" s="12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>
      <c r="A474" s="12"/>
      <c r="B474" s="12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>
      <c r="A475" s="12"/>
      <c r="B475" s="12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>
      <c r="A476" s="12"/>
      <c r="B476" s="12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>
      <c r="A477" s="12"/>
      <c r="B477" s="12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>
      <c r="A478" s="12"/>
      <c r="B478" s="12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>
      <c r="A479" s="12"/>
      <c r="B479" s="12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>
      <c r="A480" s="12"/>
      <c r="B480" s="12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>
      <c r="A481" s="12"/>
      <c r="B481" s="12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>
      <c r="A482" s="12"/>
      <c r="B482" s="12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>
      <c r="A483" s="12"/>
      <c r="B483" s="12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>
      <c r="A484" s="12"/>
      <c r="B484" s="12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>
      <c r="A485" s="12"/>
      <c r="B485" s="12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>
      <c r="A486" s="12"/>
      <c r="B486" s="12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>
      <c r="A487" s="12"/>
      <c r="B487" s="12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>
      <c r="A488" s="12"/>
      <c r="B488" s="12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>
      <c r="A489" s="12"/>
      <c r="B489" s="12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>
      <c r="A490" s="12"/>
      <c r="B490" s="12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>
      <c r="A491" s="12"/>
      <c r="B491" s="12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>
      <c r="A492" s="12"/>
      <c r="B492" s="12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>
      <c r="A493" s="12"/>
      <c r="B493" s="12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>
      <c r="A494" s="12"/>
      <c r="B494" s="12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>
      <c r="A495" s="12"/>
      <c r="B495" s="12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>
      <c r="A496" s="12"/>
      <c r="B496" s="12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>
      <c r="A497" s="12"/>
      <c r="B497" s="12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>
      <c r="A498" s="12"/>
      <c r="B498" s="12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>
      <c r="A499" s="12"/>
      <c r="B499" s="12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>
      <c r="A500" s="12"/>
      <c r="B500" s="12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>
      <c r="A501" s="12"/>
      <c r="B501" s="12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>
      <c r="A502" s="12"/>
      <c r="B502" s="12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>
      <c r="A503" s="12"/>
      <c r="B503" s="12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>
      <c r="A504" s="12"/>
      <c r="B504" s="12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>
      <c r="A505" s="12"/>
      <c r="B505" s="12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>
      <c r="A506" s="12"/>
      <c r="B506" s="12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>
      <c r="A507" s="12"/>
      <c r="B507" s="12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>
      <c r="A508" s="12"/>
      <c r="B508" s="12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>
      <c r="A509" s="12"/>
      <c r="B509" s="12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>
      <c r="A510" s="12"/>
      <c r="B510" s="12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>
      <c r="A511" s="12"/>
      <c r="B511" s="12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>
      <c r="A512" s="12"/>
      <c r="B512" s="12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>
      <c r="A513" s="12"/>
      <c r="B513" s="12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>
      <c r="A514" s="12"/>
      <c r="B514" s="12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>
      <c r="A515" s="12"/>
      <c r="B515" s="12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>
      <c r="A516" s="12"/>
      <c r="B516" s="12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>
      <c r="A517" s="12"/>
      <c r="B517" s="12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>
      <c r="A518" s="12"/>
      <c r="B518" s="12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>
      <c r="A519" s="12"/>
      <c r="B519" s="12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>
      <c r="A520" s="12"/>
      <c r="B520" s="12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>
      <c r="A521" s="12"/>
      <c r="B521" s="12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>
      <c r="A522" s="12"/>
      <c r="B522" s="12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>
      <c r="A523" s="12"/>
      <c r="B523" s="12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>
      <c r="A524" s="12"/>
      <c r="B524" s="12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>
      <c r="A525" s="12"/>
      <c r="B525" s="12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>
      <c r="A526" s="12"/>
      <c r="B526" s="12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>
      <c r="A527" s="12"/>
      <c r="B527" s="12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>
      <c r="A528" s="12"/>
      <c r="B528" s="12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>
      <c r="A529" s="12"/>
      <c r="B529" s="12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>
      <c r="A530" s="12"/>
      <c r="B530" s="12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>
      <c r="A531" s="12"/>
      <c r="B531" s="12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>
      <c r="A532" s="12"/>
      <c r="B532" s="12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>
      <c r="A533" s="12"/>
      <c r="B533" s="12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>
      <c r="A534" s="12"/>
      <c r="B534" s="12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>
      <c r="A535" s="12"/>
      <c r="B535" s="12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>
      <c r="A536" s="12"/>
      <c r="B536" s="12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>
      <c r="A537" s="12"/>
      <c r="B537" s="12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>
      <c r="A538" s="12"/>
      <c r="B538" s="12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>
      <c r="A539" s="12"/>
      <c r="B539" s="12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>
      <c r="A540" s="12"/>
      <c r="B540" s="12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>
      <c r="A541" s="12"/>
      <c r="B541" s="12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>
      <c r="A542" s="12"/>
      <c r="B542" s="12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>
      <c r="A543" s="12"/>
      <c r="B543" s="12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>
      <c r="A544" s="12"/>
      <c r="B544" s="12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>
      <c r="A545" s="12"/>
      <c r="B545" s="12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>
      <c r="A546" s="12"/>
      <c r="B546" s="12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>
      <c r="A547" s="12"/>
      <c r="B547" s="12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>
      <c r="A548" s="12"/>
      <c r="B548" s="12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>
      <c r="A549" s="12"/>
      <c r="B549" s="12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>
      <c r="A550" s="12"/>
      <c r="B550" s="12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>
      <c r="A551" s="12"/>
      <c r="B551" s="12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>
      <c r="A552" s="12"/>
      <c r="B552" s="12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>
      <c r="A553" s="12"/>
      <c r="B553" s="12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>
      <c r="A554" s="12"/>
      <c r="B554" s="12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>
      <c r="A555" s="12"/>
      <c r="B555" s="12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>
      <c r="A556" s="12"/>
      <c r="B556" s="12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>
      <c r="A557" s="12"/>
      <c r="B557" s="12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>
      <c r="A558" s="12"/>
      <c r="B558" s="12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>
      <c r="A559" s="12"/>
      <c r="B559" s="12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>
      <c r="A560" s="12"/>
      <c r="B560" s="12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>
      <c r="A561" s="12"/>
      <c r="B561" s="12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>
      <c r="A562" s="12"/>
      <c r="B562" s="12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>
      <c r="A563" s="12"/>
      <c r="B563" s="12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>
      <c r="A564" s="12"/>
      <c r="B564" s="12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>
      <c r="A565" s="12"/>
      <c r="B565" s="12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>
      <c r="A566" s="12"/>
      <c r="B566" s="12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>
      <c r="A567" s="12"/>
      <c r="B567" s="12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>
      <c r="A568" s="12"/>
      <c r="B568" s="12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>
      <c r="A569" s="12"/>
      <c r="B569" s="12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>
      <c r="A570" s="12"/>
      <c r="B570" s="12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>
      <c r="A571" s="12"/>
      <c r="B571" s="12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>
      <c r="A572" s="12"/>
      <c r="B572" s="12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>
      <c r="A573" s="12"/>
      <c r="B573" s="12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>
      <c r="A574" s="12"/>
      <c r="B574" s="12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>
      <c r="A575" s="12"/>
      <c r="B575" s="12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>
      <c r="A576" s="12"/>
      <c r="B576" s="12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>
      <c r="A577" s="12"/>
      <c r="B577" s="12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>
      <c r="A578" s="12"/>
      <c r="B578" s="12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>
      <c r="A579" s="12"/>
      <c r="B579" s="12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>
      <c r="A580" s="12"/>
      <c r="B580" s="12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>
      <c r="A581" s="12"/>
      <c r="B581" s="12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>
      <c r="A582" s="12"/>
      <c r="B582" s="12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>
      <c r="A583" s="12"/>
      <c r="B583" s="12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>
      <c r="A584" s="12"/>
      <c r="B584" s="12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>
      <c r="A585" s="12"/>
      <c r="B585" s="12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>
      <c r="A586" s="12"/>
      <c r="B586" s="12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>
      <c r="A587" s="12"/>
      <c r="B587" s="12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>
      <c r="A588" s="12"/>
      <c r="B588" s="12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>
      <c r="A589" s="12"/>
      <c r="B589" s="12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>
      <c r="A590" s="12"/>
      <c r="B590" s="12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>
      <c r="A591" s="12"/>
      <c r="B591" s="12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>
      <c r="A592" s="12"/>
      <c r="B592" s="12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>
      <c r="A593" s="12"/>
      <c r="B593" s="12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>
      <c r="A594" s="12"/>
      <c r="B594" s="12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>
      <c r="A595" s="12"/>
      <c r="B595" s="12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>
      <c r="A596" s="12"/>
      <c r="B596" s="12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>
      <c r="A597" s="12"/>
      <c r="B597" s="12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>
      <c r="A598" s="12"/>
      <c r="B598" s="12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>
      <c r="A599" s="12"/>
      <c r="B599" s="12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>
      <c r="A600" s="12"/>
      <c r="B600" s="12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>
      <c r="A601" s="12"/>
      <c r="B601" s="12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>
      <c r="A602" s="12"/>
      <c r="B602" s="12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>
      <c r="A603" s="12"/>
      <c r="B603" s="12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>
      <c r="A604" s="12"/>
      <c r="B604" s="12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>
      <c r="A605" s="12"/>
      <c r="B605" s="12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>
      <c r="A606" s="12"/>
      <c r="B606" s="12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>
      <c r="A607" s="12"/>
      <c r="B607" s="12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>
      <c r="A608" s="12"/>
      <c r="B608" s="12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>
      <c r="A609" s="12"/>
      <c r="B609" s="12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>
      <c r="A610" s="12"/>
      <c r="B610" s="12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>
      <c r="A611" s="12"/>
      <c r="B611" s="12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>
      <c r="A612" s="12"/>
      <c r="B612" s="12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>
      <c r="A613" s="12"/>
      <c r="B613" s="12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>
      <c r="A614" s="12"/>
      <c r="B614" s="12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>
      <c r="A615" s="12"/>
      <c r="B615" s="12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>
      <c r="A616" s="12"/>
      <c r="B616" s="12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>
      <c r="A617" s="12"/>
      <c r="B617" s="12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>
      <c r="A618" s="12"/>
      <c r="B618" s="12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>
      <c r="A619" s="12"/>
      <c r="B619" s="12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>
      <c r="A620" s="12"/>
      <c r="B620" s="12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>
      <c r="A621" s="12"/>
      <c r="B621" s="12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>
      <c r="A622" s="12"/>
      <c r="B622" s="12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>
      <c r="A623" s="12"/>
      <c r="B623" s="12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>
      <c r="A624" s="12"/>
      <c r="B624" s="12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>
      <c r="A625" s="12"/>
      <c r="B625" s="12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>
      <c r="A626" s="12"/>
      <c r="B626" s="12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>
      <c r="A627" s="12"/>
      <c r="B627" s="12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>
      <c r="A628" s="12"/>
      <c r="B628" s="12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>
      <c r="A629" s="12"/>
      <c r="B629" s="12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>
      <c r="A630" s="12"/>
      <c r="B630" s="12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>
      <c r="A631" s="12"/>
      <c r="B631" s="12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>
      <c r="A632" s="12"/>
      <c r="B632" s="12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>
      <c r="A633" s="12"/>
      <c r="B633" s="12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>
      <c r="A634" s="12"/>
      <c r="B634" s="12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>
      <c r="A635" s="12"/>
      <c r="B635" s="12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>
      <c r="A636" s="12"/>
      <c r="B636" s="12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>
      <c r="A637" s="12"/>
      <c r="B637" s="12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>
      <c r="A638" s="12"/>
      <c r="B638" s="12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>
      <c r="A639" s="12"/>
      <c r="B639" s="12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>
      <c r="A640" s="12"/>
      <c r="B640" s="12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>
      <c r="A641" s="12"/>
      <c r="B641" s="12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>
      <c r="A642" s="12"/>
      <c r="B642" s="12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>
      <c r="A643" s="12"/>
      <c r="B643" s="12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>
      <c r="A644" s="12"/>
      <c r="B644" s="12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>
      <c r="A645" s="12"/>
      <c r="B645" s="12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>
      <c r="A646" s="12"/>
      <c r="B646" s="12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>
      <c r="A647" s="12"/>
      <c r="B647" s="12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>
      <c r="A648" s="12"/>
      <c r="B648" s="12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>
      <c r="A649" s="12"/>
      <c r="B649" s="12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>
      <c r="A650" s="12"/>
      <c r="B650" s="12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>
      <c r="A651" s="12"/>
      <c r="B651" s="12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>
      <c r="A652" s="12"/>
      <c r="B652" s="12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>
      <c r="A653" s="12"/>
      <c r="B653" s="12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>
      <c r="A654" s="12"/>
      <c r="B654" s="12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>
      <c r="A655" s="12"/>
      <c r="B655" s="12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>
      <c r="A656" s="12"/>
      <c r="B656" s="12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>
      <c r="A657" s="12"/>
      <c r="B657" s="12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>
      <c r="A658" s="12"/>
      <c r="B658" s="12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>
      <c r="A659" s="12"/>
      <c r="B659" s="12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>
      <c r="A660" s="12"/>
      <c r="B660" s="12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>
      <c r="A661" s="12"/>
      <c r="B661" s="12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>
      <c r="A662" s="12"/>
      <c r="B662" s="12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>
      <c r="A663" s="12"/>
      <c r="B663" s="12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>
      <c r="A664" s="12"/>
      <c r="B664" s="12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>
      <c r="A665" s="12"/>
      <c r="B665" s="12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>
      <c r="A666" s="12"/>
      <c r="B666" s="12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>
      <c r="A667" s="12"/>
      <c r="B667" s="12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>
      <c r="A668" s="12"/>
      <c r="B668" s="12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>
      <c r="A669" s="12"/>
      <c r="B669" s="12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>
      <c r="A670" s="12"/>
      <c r="B670" s="12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>
      <c r="A671" s="12"/>
      <c r="B671" s="12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>
      <c r="A672" s="12"/>
      <c r="B672" s="12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>
      <c r="A673" s="12"/>
      <c r="B673" s="12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>
      <c r="A674" s="12"/>
      <c r="B674" s="12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>
      <c r="A675" s="12"/>
      <c r="B675" s="12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>
      <c r="A676" s="12"/>
      <c r="B676" s="12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>
      <c r="A677" s="12"/>
      <c r="B677" s="12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>
      <c r="A678" s="12"/>
      <c r="B678" s="12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>
      <c r="A679" s="12"/>
      <c r="B679" s="12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>
      <c r="A680" s="12"/>
      <c r="B680" s="12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>
      <c r="A681" s="12"/>
      <c r="B681" s="12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>
      <c r="A682" s="12"/>
      <c r="B682" s="12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>
      <c r="A683" s="12"/>
      <c r="B683" s="12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>
      <c r="A684" s="12"/>
      <c r="B684" s="12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>
      <c r="A685" s="12"/>
      <c r="B685" s="12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>
      <c r="A686" s="12"/>
      <c r="B686" s="12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>
      <c r="A687" s="12"/>
      <c r="B687" s="12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>
      <c r="A688" s="12"/>
      <c r="B688" s="12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>
      <c r="A689" s="12"/>
      <c r="B689" s="12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>
      <c r="A690" s="12"/>
      <c r="B690" s="12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>
      <c r="A691" s="12"/>
      <c r="B691" s="12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>
      <c r="A692" s="12"/>
      <c r="B692" s="12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>
      <c r="A693" s="12"/>
      <c r="B693" s="12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>
      <c r="A694" s="12"/>
      <c r="B694" s="12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>
      <c r="A695" s="12"/>
      <c r="B695" s="12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>
      <c r="A696" s="12"/>
      <c r="B696" s="12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>
      <c r="A697" s="12"/>
      <c r="B697" s="12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>
      <c r="A698" s="12"/>
      <c r="B698" s="12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>
      <c r="A699" s="12"/>
      <c r="B699" s="12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>
      <c r="A700" s="12"/>
      <c r="B700" s="12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>
      <c r="A701" s="12"/>
      <c r="B701" s="12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>
      <c r="A702" s="12"/>
      <c r="B702" s="12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>
      <c r="A703" s="12"/>
      <c r="B703" s="12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>
      <c r="A704" s="12"/>
      <c r="B704" s="12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>
      <c r="A705" s="12"/>
      <c r="B705" s="12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>
      <c r="A706" s="12"/>
      <c r="B706" s="12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>
      <c r="A707" s="12"/>
      <c r="B707" s="12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>
      <c r="A708" s="12"/>
      <c r="B708" s="12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>
      <c r="A709" s="12"/>
      <c r="B709" s="12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>
      <c r="A710" s="12"/>
      <c r="B710" s="12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>
      <c r="A711" s="12"/>
      <c r="B711" s="12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>
      <c r="A712" s="12"/>
      <c r="B712" s="12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>
      <c r="A713" s="12"/>
      <c r="B713" s="12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>
      <c r="A714" s="12"/>
      <c r="B714" s="12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>
      <c r="A715" s="12"/>
      <c r="B715" s="12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>
      <c r="A716" s="12"/>
      <c r="B716" s="12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>
      <c r="A717" s="12"/>
      <c r="B717" s="12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>
      <c r="A718" s="12"/>
      <c r="B718" s="12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>
      <c r="A719" s="12"/>
      <c r="B719" s="12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>
      <c r="A720" s="12"/>
      <c r="B720" s="12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>
      <c r="A721" s="12"/>
      <c r="B721" s="12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>
      <c r="A722" s="12"/>
      <c r="B722" s="12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>
      <c r="A723" s="12"/>
      <c r="B723" s="12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>
      <c r="A724" s="12"/>
      <c r="B724" s="12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>
      <c r="A725" s="12"/>
      <c r="B725" s="12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>
      <c r="A726" s="12"/>
      <c r="B726" s="12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>
      <c r="A727" s="12"/>
      <c r="B727" s="12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>
      <c r="A728" s="12"/>
      <c r="B728" s="12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>
      <c r="A729" s="12"/>
      <c r="B729" s="12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>
      <c r="A730" s="12"/>
      <c r="B730" s="12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>
      <c r="A731" s="12"/>
      <c r="B731" s="12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>
      <c r="A732" s="12"/>
      <c r="B732" s="12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>
      <c r="A733" s="12"/>
      <c r="B733" s="12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>
      <c r="A734" s="12"/>
      <c r="B734" s="12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>
      <c r="A735" s="12"/>
      <c r="B735" s="12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>
      <c r="A736" s="12"/>
      <c r="B736" s="12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>
      <c r="A737" s="12"/>
      <c r="B737" s="12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>
      <c r="A738" s="12"/>
      <c r="B738" s="12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>
      <c r="A739" s="12"/>
      <c r="B739" s="12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>
      <c r="A740" s="12"/>
      <c r="B740" s="12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>
      <c r="A741" s="12"/>
      <c r="B741" s="12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>
      <c r="A742" s="12"/>
      <c r="B742" s="12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>
      <c r="A743" s="12"/>
      <c r="B743" s="12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>
      <c r="A744" s="12"/>
      <c r="B744" s="12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>
      <c r="A745" s="12"/>
      <c r="B745" s="12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>
      <c r="A746" s="12"/>
      <c r="B746" s="12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>
      <c r="A747" s="12"/>
      <c r="B747" s="12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>
      <c r="A748" s="12"/>
      <c r="B748" s="12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>
      <c r="A749" s="12"/>
      <c r="B749" s="12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>
      <c r="A750" s="12"/>
      <c r="B750" s="12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>
      <c r="A751" s="12"/>
      <c r="B751" s="12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>
      <c r="A752" s="12"/>
      <c r="B752" s="12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>
      <c r="A753" s="12"/>
      <c r="B753" s="12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>
      <c r="A754" s="12"/>
      <c r="B754" s="12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>
      <c r="A755" s="12"/>
      <c r="B755" s="12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>
      <c r="A756" s="12"/>
      <c r="B756" s="12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>
      <c r="A757" s="12"/>
      <c r="B757" s="12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>
      <c r="A758" s="12"/>
      <c r="B758" s="12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>
      <c r="A759" s="12"/>
      <c r="B759" s="12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>
      <c r="A760" s="12"/>
      <c r="B760" s="12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>
      <c r="A761" s="12"/>
      <c r="B761" s="12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>
      <c r="A762" s="12"/>
      <c r="B762" s="12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>
      <c r="A763" s="12"/>
      <c r="B763" s="12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>
      <c r="A764" s="12"/>
      <c r="B764" s="12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>
      <c r="A765" s="12"/>
      <c r="B765" s="12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>
      <c r="A766" s="12"/>
      <c r="B766" s="12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>
      <c r="A767" s="12"/>
      <c r="B767" s="12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>
      <c r="A768" s="12"/>
      <c r="B768" s="12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>
      <c r="A769" s="12"/>
      <c r="B769" s="12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>
      <c r="A770" s="12"/>
      <c r="B770" s="12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>
      <c r="A771" s="12"/>
      <c r="B771" s="12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>
      <c r="A772" s="12"/>
      <c r="B772" s="12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>
      <c r="A773" s="12"/>
      <c r="B773" s="12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>
      <c r="A774" s="12"/>
      <c r="B774" s="12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>
      <c r="A775" s="12"/>
      <c r="B775" s="12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>
      <c r="A776" s="12"/>
      <c r="B776" s="12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>
      <c r="A777" s="12"/>
      <c r="B777" s="12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>
      <c r="A778" s="12"/>
      <c r="B778" s="12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>
      <c r="A779" s="12"/>
      <c r="B779" s="12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>
      <c r="A780" s="12"/>
      <c r="B780" s="12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>
      <c r="A781" s="12"/>
      <c r="B781" s="12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>
      <c r="A782" s="12"/>
      <c r="B782" s="12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>
      <c r="A783" s="12"/>
      <c r="B783" s="12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>
      <c r="A784" s="12"/>
      <c r="B784" s="12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>
      <c r="A785" s="12"/>
      <c r="B785" s="12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>
      <c r="A786" s="12"/>
      <c r="B786" s="12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>
      <c r="A787" s="12"/>
      <c r="B787" s="12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>
      <c r="A788" s="12"/>
      <c r="B788" s="12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>
      <c r="A789" s="12"/>
      <c r="B789" s="12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>
      <c r="A790" s="12"/>
      <c r="B790" s="12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>
      <c r="A791" s="12"/>
      <c r="B791" s="12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>
      <c r="A792" s="12"/>
      <c r="B792" s="12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>
      <c r="A793" s="12"/>
      <c r="B793" s="12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>
      <c r="A794" s="12"/>
      <c r="B794" s="12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>
      <c r="A795" s="12"/>
      <c r="B795" s="12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>
      <c r="A796" s="12"/>
      <c r="B796" s="12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>
      <c r="A797" s="12"/>
      <c r="B797" s="12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>
      <c r="A798" s="12"/>
      <c r="B798" s="12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>
      <c r="A799" s="12"/>
      <c r="B799" s="12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>
      <c r="A800" s="12"/>
      <c r="B800" s="12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>
      <c r="A801" s="12"/>
      <c r="B801" s="12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>
      <c r="A802" s="12"/>
      <c r="B802" s="12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>
      <c r="A803" s="12"/>
      <c r="B803" s="12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>
      <c r="A804" s="12"/>
      <c r="B804" s="12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>
      <c r="A805" s="12"/>
      <c r="B805" s="12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>
      <c r="A806" s="12"/>
      <c r="B806" s="12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>
      <c r="A807" s="12"/>
      <c r="B807" s="12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>
      <c r="A808" s="12"/>
      <c r="B808" s="12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>
      <c r="A809" s="12"/>
      <c r="B809" s="12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>
      <c r="A810" s="12"/>
      <c r="B810" s="12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>
      <c r="A811" s="12"/>
      <c r="B811" s="12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>
      <c r="A812" s="12"/>
      <c r="B812" s="12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>
      <c r="A813" s="12"/>
      <c r="B813" s="12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>
      <c r="A814" s="12"/>
      <c r="B814" s="12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>
      <c r="A815" s="12"/>
      <c r="B815" s="12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>
      <c r="A816" s="12"/>
      <c r="B816" s="12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>
      <c r="A817" s="12"/>
      <c r="B817" s="12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>
      <c r="A818" s="12"/>
      <c r="B818" s="12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>
      <c r="A819" s="12"/>
      <c r="B819" s="12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>
      <c r="A820" s="12"/>
      <c r="B820" s="12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>
      <c r="A821" s="12"/>
      <c r="B821" s="12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>
      <c r="A822" s="12"/>
      <c r="B822" s="12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>
      <c r="A823" s="12"/>
      <c r="B823" s="12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>
      <c r="A824" s="12"/>
      <c r="B824" s="12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>
      <c r="A825" s="12"/>
      <c r="B825" s="12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>
      <c r="A826" s="12"/>
      <c r="B826" s="12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>
      <c r="A827" s="12"/>
      <c r="B827" s="12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>
      <c r="A828" s="12"/>
      <c r="B828" s="12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>
      <c r="A829" s="12"/>
      <c r="B829" s="12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>
      <c r="A830" s="12"/>
      <c r="B830" s="12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>
      <c r="A831" s="12"/>
      <c r="B831" s="12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>
      <c r="A832" s="12"/>
      <c r="B832" s="12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>
      <c r="A833" s="12"/>
      <c r="B833" s="12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>
      <c r="A834" s="12"/>
      <c r="B834" s="12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>
      <c r="A835" s="12"/>
      <c r="B835" s="12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>
      <c r="A836" s="12"/>
      <c r="B836" s="12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>
      <c r="A837" s="12"/>
      <c r="B837" s="12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>
      <c r="A838" s="12"/>
      <c r="B838" s="12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>
      <c r="A839" s="12"/>
      <c r="B839" s="12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>
      <c r="A840" s="12"/>
      <c r="B840" s="12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>
      <c r="A841" s="12"/>
      <c r="B841" s="12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>
      <c r="A842" s="12"/>
      <c r="B842" s="12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>
      <c r="A843" s="12"/>
      <c r="B843" s="12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>
      <c r="A844" s="12"/>
      <c r="B844" s="12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>
      <c r="A845" s="12"/>
      <c r="B845" s="12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>
      <c r="A846" s="12"/>
      <c r="B846" s="12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>
      <c r="A847" s="12"/>
      <c r="B847" s="12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>
      <c r="A848" s="12"/>
      <c r="B848" s="12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>
      <c r="A849" s="12"/>
      <c r="B849" s="12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>
      <c r="A850" s="12"/>
      <c r="B850" s="12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>
      <c r="A851" s="12"/>
      <c r="B851" s="12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>
      <c r="A852" s="12"/>
      <c r="B852" s="12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>
      <c r="A853" s="12"/>
      <c r="B853" s="12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>
      <c r="A854" s="12"/>
      <c r="B854" s="12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>
      <c r="A855" s="12"/>
      <c r="B855" s="12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>
      <c r="A856" s="12"/>
      <c r="B856" s="12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>
      <c r="A857" s="12"/>
      <c r="B857" s="12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>
      <c r="A858" s="12"/>
      <c r="B858" s="12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>
      <c r="A859" s="12"/>
      <c r="B859" s="12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>
      <c r="A860" s="12"/>
      <c r="B860" s="12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>
      <c r="A861" s="12"/>
      <c r="B861" s="12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>
      <c r="A862" s="12"/>
      <c r="B862" s="12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>
      <c r="A863" s="12"/>
      <c r="B863" s="12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>
      <c r="A864" s="12"/>
      <c r="B864" s="12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>
      <c r="A865" s="12"/>
      <c r="B865" s="12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>
      <c r="A866" s="12"/>
      <c r="B866" s="12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>
      <c r="A867" s="12"/>
      <c r="B867" s="12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>
      <c r="A868" s="12"/>
      <c r="B868" s="12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>
      <c r="A869" s="12"/>
      <c r="B869" s="12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>
      <c r="A870" s="12"/>
      <c r="B870" s="12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>
      <c r="A871" s="12"/>
      <c r="B871" s="12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>
      <c r="A872" s="12"/>
      <c r="B872" s="12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>
      <c r="A873" s="12"/>
      <c r="B873" s="12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>
      <c r="A874" s="12"/>
      <c r="B874" s="12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>
      <c r="A875" s="12"/>
      <c r="B875" s="12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>
      <c r="A876" s="12"/>
      <c r="B876" s="12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>
      <c r="A877" s="12"/>
      <c r="B877" s="12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>
      <c r="A878" s="12"/>
      <c r="B878" s="12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>
      <c r="A879" s="12"/>
      <c r="B879" s="12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>
      <c r="A880" s="12"/>
      <c r="B880" s="12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>
      <c r="A881" s="12"/>
      <c r="B881" s="12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>
      <c r="A882" s="12"/>
      <c r="B882" s="12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>
      <c r="A883" s="12"/>
      <c r="B883" s="12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>
      <c r="A884" s="12"/>
      <c r="B884" s="12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>
      <c r="A885" s="12"/>
      <c r="B885" s="12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>
      <c r="A886" s="12"/>
      <c r="B886" s="12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>
      <c r="A887" s="12"/>
      <c r="B887" s="12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>
      <c r="A888" s="12"/>
      <c r="B888" s="12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>
      <c r="A889" s="12"/>
      <c r="B889" s="12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>
      <c r="A890" s="12"/>
      <c r="B890" s="12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>
      <c r="A891" s="12"/>
      <c r="B891" s="12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>
      <c r="A892" s="12"/>
      <c r="B892" s="12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>
      <c r="A893" s="12"/>
      <c r="B893" s="12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>
      <c r="A894" s="12"/>
      <c r="B894" s="12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>
      <c r="A895" s="12"/>
      <c r="B895" s="12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>
      <c r="A896" s="12"/>
      <c r="B896" s="12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>
      <c r="A897" s="12"/>
      <c r="B897" s="12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>
      <c r="A898" s="12"/>
      <c r="B898" s="12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>
      <c r="A899" s="12"/>
      <c r="B899" s="12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>
      <c r="A900" s="12"/>
      <c r="B900" s="12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>
      <c r="A901" s="12"/>
      <c r="B901" s="12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>
      <c r="A902" s="12"/>
      <c r="B902" s="12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>
      <c r="A903" s="12"/>
      <c r="B903" s="12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>
      <c r="A904" s="12"/>
      <c r="B904" s="12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>
      <c r="A905" s="12"/>
      <c r="B905" s="12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>
      <c r="A906" s="12"/>
      <c r="B906" s="12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>
      <c r="A907" s="12"/>
      <c r="B907" s="12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>
      <c r="A908" s="12"/>
      <c r="B908" s="12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>
      <c r="A909" s="12"/>
      <c r="B909" s="12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>
      <c r="A910" s="12"/>
      <c r="B910" s="12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>
      <c r="A911" s="12"/>
      <c r="B911" s="12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>
      <c r="A912" s="12"/>
      <c r="B912" s="12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>
      <c r="A913" s="12"/>
      <c r="B913" s="12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>
      <c r="A914" s="12"/>
      <c r="B914" s="12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>
      <c r="A915" s="12"/>
      <c r="B915" s="12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>
      <c r="A916" s="12"/>
      <c r="B916" s="12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>
      <c r="A917" s="12"/>
      <c r="B917" s="12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>
      <c r="A918" s="12"/>
      <c r="B918" s="12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>
      <c r="A919" s="12"/>
      <c r="B919" s="12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>
      <c r="A920" s="12"/>
      <c r="B920" s="12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>
      <c r="A921" s="12"/>
      <c r="B921" s="12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>
      <c r="A922" s="12"/>
      <c r="B922" s="12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>
      <c r="A923" s="12"/>
      <c r="B923" s="12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>
      <c r="A924" s="12"/>
      <c r="B924" s="12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>
      <c r="A925" s="12"/>
      <c r="B925" s="12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>
      <c r="A926" s="12"/>
      <c r="B926" s="12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>
      <c r="A927" s="12"/>
      <c r="B927" s="12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>
      <c r="A928" s="12"/>
      <c r="B928" s="12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>
      <c r="A929" s="12"/>
      <c r="B929" s="12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>
      <c r="A930" s="12"/>
      <c r="B930" s="12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>
      <c r="A931" s="12"/>
      <c r="B931" s="12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>
      <c r="A932" s="12"/>
      <c r="B932" s="12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>
      <c r="A933" s="12"/>
      <c r="B933" s="12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>
      <c r="A934" s="12"/>
      <c r="B934" s="12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>
      <c r="A935" s="12"/>
      <c r="B935" s="12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>
      <c r="A936" s="12"/>
      <c r="B936" s="12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>
      <c r="A937" s="12"/>
      <c r="B937" s="12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>
      <c r="A938" s="12"/>
      <c r="B938" s="12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>
      <c r="A939" s="12"/>
      <c r="B939" s="12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>
      <c r="A940" s="12"/>
      <c r="B940" s="12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>
      <c r="A941" s="12"/>
      <c r="B941" s="12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>
      <c r="A942" s="12"/>
      <c r="B942" s="12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>
      <c r="A943" s="12"/>
      <c r="B943" s="12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>
      <c r="A944" s="12"/>
      <c r="B944" s="12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>
      <c r="A945" s="12"/>
      <c r="B945" s="12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>
      <c r="A946" s="12"/>
      <c r="B946" s="12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>
      <c r="A947" s="12"/>
      <c r="B947" s="12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>
      <c r="A948" s="12"/>
      <c r="B948" s="12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>
      <c r="A949" s="12"/>
      <c r="B949" s="12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>
      <c r="A950" s="12"/>
      <c r="B950" s="12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>
      <c r="A951" s="12"/>
      <c r="B951" s="12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>
      <c r="A952" s="12"/>
      <c r="B952" s="12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>
      <c r="A953" s="12"/>
      <c r="B953" s="12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>
      <c r="A954" s="12"/>
      <c r="B954" s="12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>
      <c r="A955" s="12"/>
      <c r="B955" s="12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>
      <c r="A956" s="12"/>
      <c r="B956" s="12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>
      <c r="A957" s="12"/>
      <c r="B957" s="12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>
      <c r="A958" s="12"/>
      <c r="B958" s="12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>
      <c r="A959" s="12"/>
      <c r="B959" s="12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>
      <c r="A960" s="12"/>
      <c r="B960" s="12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>
      <c r="A961" s="12"/>
      <c r="B961" s="12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>
      <c r="A962" s="12"/>
      <c r="B962" s="12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>
      <c r="A963" s="12"/>
      <c r="B963" s="12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>
      <c r="A964" s="12"/>
      <c r="B964" s="12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>
      <c r="A965" s="12"/>
      <c r="B965" s="12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>
      <c r="A966" s="12"/>
      <c r="B966" s="12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>
      <c r="A967" s="12"/>
      <c r="B967" s="12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>
      <c r="A968" s="12"/>
      <c r="B968" s="12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>
      <c r="A969" s="12"/>
      <c r="B969" s="12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>
      <c r="A970" s="12"/>
      <c r="B970" s="12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>
      <c r="A971" s="12"/>
      <c r="B971" s="12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>
      <c r="A972" s="12"/>
      <c r="B972" s="12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>
      <c r="A973" s="12"/>
      <c r="B973" s="12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>
      <c r="A974" s="12"/>
      <c r="B974" s="12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>
      <c r="A975" s="12"/>
      <c r="B975" s="12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>
      <c r="A976" s="12"/>
      <c r="B976" s="12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>
      <c r="A977" s="12"/>
      <c r="B977" s="12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>
      <c r="A978" s="12"/>
      <c r="B978" s="12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>
      <c r="A979" s="12"/>
      <c r="B979" s="12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>
      <c r="A980" s="12"/>
      <c r="B980" s="12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>
      <c r="A981" s="12"/>
      <c r="B981" s="12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>
      <c r="A982" s="12"/>
      <c r="B982" s="12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>
      <c r="A983" s="12"/>
      <c r="B983" s="12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>
      <c r="A984" s="12"/>
      <c r="B984" s="12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>
      <c r="A985" s="12"/>
      <c r="B985" s="12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>
      <c r="A986" s="12"/>
      <c r="B986" s="12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>
      <c r="A987" s="12"/>
      <c r="B987" s="12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>
      <c r="A988" s="12"/>
      <c r="B988" s="12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>
      <c r="A989" s="12"/>
      <c r="B989" s="12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>
      <c r="A990" s="12"/>
      <c r="B990" s="12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>
      <c r="A991" s="12"/>
      <c r="B991" s="12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>
      <c r="A992" s="12"/>
      <c r="B992" s="12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>
      <c r="A993" s="12"/>
      <c r="B993" s="12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>
      <c r="A994" s="12"/>
      <c r="B994" s="12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>
      <c r="A995" s="12"/>
      <c r="B995" s="12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>
      <c r="A996" s="12"/>
      <c r="B996" s="12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>
      <c r="A997" s="12"/>
      <c r="B997" s="12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>
      <c r="A998" s="12"/>
      <c r="B998" s="12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>
      <c r="A999" s="12"/>
      <c r="B999" s="12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>
      <c r="A1000" s="12"/>
      <c r="B1000" s="12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G13:G14"/>
    <mergeCell ref="G42:H42"/>
    <mergeCell ref="B1:G1"/>
    <mergeCell ref="A2:B2"/>
    <mergeCell ref="D2:E2"/>
    <mergeCell ref="J4:J5"/>
    <mergeCell ref="F12:G12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ColWidth="11.25" defaultRowHeight="15" customHeight="1"/>
  <cols>
    <col min="1" max="1" width="10.625" customWidth="1"/>
    <col min="2" max="2" width="15.5" customWidth="1"/>
    <col min="3" max="26" width="11" customWidth="1"/>
  </cols>
  <sheetData>
    <row r="1" spans="1:8">
      <c r="A1" s="1" t="s">
        <v>0</v>
      </c>
      <c r="B1" s="51"/>
      <c r="C1" s="52"/>
      <c r="D1" s="52"/>
      <c r="E1" s="26">
        <f ca="1">TODAY()</f>
        <v>46043</v>
      </c>
      <c r="F1" s="2"/>
      <c r="G1" s="3"/>
      <c r="H1" s="4"/>
    </row>
    <row r="2" spans="1:8"/>
    <row r="3" spans="1:8">
      <c r="A3" s="27" t="s">
        <v>13</v>
      </c>
      <c r="B3" s="28" t="s">
        <v>14</v>
      </c>
      <c r="C3" s="29" t="s">
        <v>15</v>
      </c>
      <c r="D3" s="18" t="s">
        <v>9</v>
      </c>
    </row>
    <row r="4" spans="1:8">
      <c r="A4" s="30">
        <v>1</v>
      </c>
      <c r="B4" s="31"/>
      <c r="C4" s="32"/>
      <c r="D4" s="33"/>
      <c r="F4" s="34" t="s">
        <v>16</v>
      </c>
    </row>
    <row r="5" spans="1:8">
      <c r="A5" s="30">
        <v>2</v>
      </c>
      <c r="B5" s="31"/>
      <c r="C5" s="32"/>
      <c r="D5" s="33"/>
    </row>
    <row r="6" spans="1:8">
      <c r="A6" s="30">
        <v>3</v>
      </c>
      <c r="B6" s="31"/>
      <c r="C6" s="32"/>
      <c r="D6" s="33"/>
    </row>
    <row r="7" spans="1:8">
      <c r="A7" s="30">
        <v>4</v>
      </c>
      <c r="B7" s="31"/>
      <c r="C7" s="32"/>
      <c r="D7" s="33"/>
    </row>
    <row r="8" spans="1:8">
      <c r="A8" s="30">
        <v>5</v>
      </c>
      <c r="B8" s="31"/>
      <c r="C8" s="32"/>
      <c r="D8" s="33"/>
    </row>
    <row r="9" spans="1:8">
      <c r="A9" s="30">
        <v>6</v>
      </c>
      <c r="B9" s="31"/>
      <c r="C9" s="32"/>
      <c r="D9" s="33"/>
    </row>
    <row r="10" spans="1:8"/>
    <row r="11" spans="1:8"/>
    <row r="12" spans="1:8"/>
    <row r="13" spans="1:8"/>
    <row r="14" spans="1:8"/>
    <row r="15" spans="1:8"/>
    <row r="16" spans="1:8"/>
    <row r="17"/>
    <row r="18"/>
    <row r="19"/>
    <row r="20"/>
  </sheetData>
  <mergeCells count="1">
    <mergeCell ref="B1:D1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workbookViewId="0"/>
  </sheetViews>
  <sheetFormatPr defaultColWidth="11.25" defaultRowHeight="15" customHeight="1"/>
  <cols>
    <col min="1" max="6" width="11.25" customWidth="1"/>
  </cols>
  <sheetData>
    <row r="1" spans="1:9" ht="28.5" customHeight="1">
      <c r="A1" s="35" t="s">
        <v>17</v>
      </c>
      <c r="B1" s="56"/>
      <c r="C1" s="52"/>
      <c r="D1" s="52"/>
      <c r="E1" s="52"/>
      <c r="F1" s="52"/>
      <c r="G1" s="52"/>
      <c r="I1" s="36">
        <f ca="1">TODAY()</f>
        <v>46043</v>
      </c>
    </row>
    <row r="2" spans="1:9" ht="15.75">
      <c r="A2" s="37" t="s">
        <v>4</v>
      </c>
      <c r="B2" s="37" t="s">
        <v>5</v>
      </c>
    </row>
    <row r="3" spans="1:9" ht="15.75">
      <c r="A3" s="38"/>
      <c r="B3" s="39"/>
    </row>
    <row r="4" spans="1:9" ht="15.75">
      <c r="A4" s="38"/>
      <c r="B4" s="39"/>
    </row>
    <row r="5" spans="1:9" ht="15.75">
      <c r="A5" s="38"/>
      <c r="B5" s="39"/>
    </row>
    <row r="6" spans="1:9" ht="15.75">
      <c r="A6" s="38"/>
      <c r="B6" s="39"/>
    </row>
    <row r="7" spans="1:9" ht="15.75">
      <c r="A7" s="38"/>
      <c r="B7" s="39"/>
    </row>
    <row r="8" spans="1:9" ht="15.75">
      <c r="A8" s="38"/>
      <c r="B8" s="39"/>
    </row>
    <row r="9" spans="1:9" ht="15.75">
      <c r="A9" s="40"/>
      <c r="B9" s="41"/>
    </row>
    <row r="10" spans="1:9" ht="15.75">
      <c r="A10" s="40"/>
      <c r="B10" s="41"/>
    </row>
    <row r="11" spans="1:9" ht="15.75">
      <c r="A11" s="40"/>
      <c r="B11" s="41"/>
    </row>
    <row r="12" spans="1:9" ht="15.75">
      <c r="A12" s="42"/>
      <c r="B12" s="43"/>
    </row>
    <row r="13" spans="1:9" ht="15.75">
      <c r="A13" s="44"/>
      <c r="B13" s="44"/>
    </row>
    <row r="14" spans="1:9" ht="15.75">
      <c r="A14" s="44"/>
      <c r="B14" s="44"/>
    </row>
    <row r="15" spans="1:9" ht="15.75">
      <c r="A15" s="44"/>
      <c r="B15" s="44"/>
    </row>
    <row r="16" spans="1:9" ht="15.75">
      <c r="A16" s="44"/>
      <c r="B16" s="44"/>
    </row>
    <row r="17" spans="1:11" ht="15.75">
      <c r="A17" s="44"/>
      <c r="B17" s="44"/>
    </row>
    <row r="18" spans="1:11" ht="15.75">
      <c r="A18" s="44"/>
      <c r="B18" s="44"/>
    </row>
    <row r="19" spans="1:11" ht="15.75">
      <c r="A19" s="44"/>
      <c r="B19" s="44"/>
    </row>
    <row r="20" spans="1:11" ht="15.75">
      <c r="A20" s="44"/>
      <c r="B20" s="44"/>
    </row>
    <row r="21" spans="1:11" ht="15.75">
      <c r="A21" s="44"/>
      <c r="B21" s="44"/>
    </row>
    <row r="22" spans="1:11" ht="15.75">
      <c r="A22" s="44"/>
      <c r="B22" s="44"/>
    </row>
    <row r="23" spans="1:11" ht="15.75">
      <c r="A23" s="44"/>
      <c r="B23" s="44"/>
      <c r="C23" s="34" t="s">
        <v>18</v>
      </c>
      <c r="G23" s="34" t="s">
        <v>19</v>
      </c>
    </row>
    <row r="24" spans="1:11" ht="15.75">
      <c r="A24" s="44"/>
      <c r="B24" s="44"/>
      <c r="G24" s="55" t="str">
        <f t="array" ref="G24">INDEX(Guts!AI5:AI8,Guts!AI1)</f>
        <v>y=A+Bx</v>
      </c>
      <c r="H24" s="52"/>
      <c r="I24" s="52"/>
    </row>
    <row r="25" spans="1:11" ht="15.75">
      <c r="A25" s="44"/>
      <c r="B25" s="44"/>
      <c r="G25" s="52"/>
      <c r="H25" s="52"/>
      <c r="I25" s="52"/>
    </row>
    <row r="26" spans="1:11" ht="15.75">
      <c r="A26" s="44"/>
      <c r="B26" s="44"/>
    </row>
    <row r="27" spans="1:11" ht="15.75">
      <c r="A27" s="44"/>
      <c r="B27" s="44"/>
      <c r="G27" s="18" t="s">
        <v>20</v>
      </c>
      <c r="H27" s="62" t="s">
        <v>21</v>
      </c>
      <c r="I27" s="60"/>
      <c r="J27" s="45" t="s">
        <v>22</v>
      </c>
      <c r="K27" s="19" t="str">
        <f ca="1">IF(Guts!AP104=0," ",IF((Guts!AQ104)/(Guts!AR104)&lt;1,1-(Guts!AQ104)/(Guts!AR104),"below 0%"))</f>
        <v xml:space="preserve"> </v>
      </c>
    </row>
    <row r="28" spans="1:11" ht="15.75">
      <c r="A28" s="44"/>
      <c r="B28" s="44"/>
      <c r="G28" s="37" t="s">
        <v>23</v>
      </c>
      <c r="H28" s="59">
        <v>0</v>
      </c>
      <c r="I28" s="60"/>
      <c r="J28" s="61"/>
      <c r="K28" s="52"/>
    </row>
    <row r="29" spans="1:11" ht="15.75">
      <c r="A29" s="44"/>
      <c r="B29" s="44"/>
      <c r="G29" s="37" t="s">
        <v>24</v>
      </c>
      <c r="H29" s="59">
        <v>0.04</v>
      </c>
      <c r="I29" s="60"/>
      <c r="J29" s="61"/>
      <c r="K29" s="52"/>
    </row>
    <row r="30" spans="1:11" ht="15.75">
      <c r="A30" s="44"/>
      <c r="B30" s="44"/>
      <c r="G30" s="37" t="str">
        <f>IF(Guts!$AI$1&lt;&gt;1,"C","")</f>
        <v/>
      </c>
      <c r="H30" s="59"/>
      <c r="I30" s="60"/>
      <c r="J30" s="61"/>
      <c r="K30" s="52"/>
    </row>
    <row r="31" spans="1:11" ht="15.75">
      <c r="A31" s="44"/>
      <c r="B31" s="44"/>
      <c r="G31" s="37" t="str">
        <f>IF(Guts!$AI$1=4,"D","")</f>
        <v/>
      </c>
      <c r="H31" s="59"/>
      <c r="I31" s="60"/>
      <c r="J31" s="61"/>
      <c r="K31" s="52"/>
    </row>
    <row r="32" spans="1:11" ht="15.75">
      <c r="A32" s="44"/>
      <c r="B32" s="44"/>
    </row>
  </sheetData>
  <mergeCells count="11">
    <mergeCell ref="H30:I30"/>
    <mergeCell ref="J30:K30"/>
    <mergeCell ref="H31:I31"/>
    <mergeCell ref="J31:K31"/>
    <mergeCell ref="B1:G1"/>
    <mergeCell ref="G24:I25"/>
    <mergeCell ref="H27:I27"/>
    <mergeCell ref="H28:I28"/>
    <mergeCell ref="J28:K28"/>
    <mergeCell ref="H29:I29"/>
    <mergeCell ref="J29:K2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000"/>
  <sheetViews>
    <sheetView workbookViewId="0"/>
  </sheetViews>
  <sheetFormatPr defaultColWidth="11.25" defaultRowHeight="15" customHeight="1"/>
  <cols>
    <col min="1" max="1" width="11" customWidth="1"/>
    <col min="2" max="2" width="11.125" customWidth="1"/>
    <col min="3" max="3" width="12.5" customWidth="1"/>
    <col min="4" max="4" width="12.125" customWidth="1"/>
    <col min="5" max="5" width="11.125" customWidth="1"/>
    <col min="6" max="6" width="11" customWidth="1"/>
    <col min="7" max="7" width="15" customWidth="1"/>
    <col min="8" max="8" width="13.625" customWidth="1"/>
    <col min="9" max="10" width="11" customWidth="1"/>
    <col min="11" max="11" width="11.625" customWidth="1"/>
    <col min="12" max="12" width="11.5" customWidth="1"/>
    <col min="13" max="23" width="11" customWidth="1"/>
    <col min="24" max="24" width="6.625" customWidth="1"/>
    <col min="25" max="25" width="9.25" customWidth="1"/>
    <col min="26" max="33" width="11" customWidth="1"/>
    <col min="34" max="34" width="12.25" customWidth="1"/>
    <col min="35" max="37" width="11" customWidth="1"/>
    <col min="38" max="38" width="12.25" customWidth="1"/>
    <col min="39" max="44" width="11" customWidth="1"/>
  </cols>
  <sheetData>
    <row r="1" spans="1:44">
      <c r="A1" s="56" t="s">
        <v>25</v>
      </c>
      <c r="B1" s="52"/>
      <c r="C1" s="52"/>
      <c r="D1" s="6">
        <v>8</v>
      </c>
      <c r="E1" s="6"/>
      <c r="G1" s="34" t="s">
        <v>26</v>
      </c>
      <c r="H1" s="34" t="s">
        <v>27</v>
      </c>
      <c r="J1" s="34" t="s">
        <v>28</v>
      </c>
      <c r="K1" s="34" t="s">
        <v>29</v>
      </c>
      <c r="L1" s="34" t="s">
        <v>30</v>
      </c>
      <c r="N1" s="34" t="s">
        <v>31</v>
      </c>
      <c r="O1" s="34" t="s">
        <v>32</v>
      </c>
      <c r="P1" s="34" t="s">
        <v>33</v>
      </c>
      <c r="Q1" s="34" t="s">
        <v>34</v>
      </c>
      <c r="R1" s="34" t="s">
        <v>35</v>
      </c>
      <c r="T1" s="34" t="s">
        <v>36</v>
      </c>
      <c r="U1" s="34" t="s">
        <v>37</v>
      </c>
      <c r="V1" s="34" t="s">
        <v>38</v>
      </c>
      <c r="W1" s="34" t="s">
        <v>39</v>
      </c>
      <c r="Y1" s="34" t="s">
        <v>40</v>
      </c>
      <c r="Z1" s="34" t="s">
        <v>41</v>
      </c>
      <c r="AA1" s="34" t="s">
        <v>42</v>
      </c>
      <c r="AB1" s="34" t="s">
        <v>43</v>
      </c>
      <c r="AC1" s="34" t="s">
        <v>44</v>
      </c>
      <c r="AD1" s="34" t="s">
        <v>45</v>
      </c>
      <c r="AE1" s="34" t="s">
        <v>46</v>
      </c>
      <c r="AF1" s="34" t="s">
        <v>47</v>
      </c>
      <c r="AH1" s="34" t="s">
        <v>25</v>
      </c>
      <c r="AI1" s="34">
        <v>1</v>
      </c>
      <c r="AK1" s="34" t="s">
        <v>48</v>
      </c>
      <c r="AL1" s="34" t="s">
        <v>49</v>
      </c>
      <c r="AN1" s="34" t="s">
        <v>50</v>
      </c>
      <c r="AO1" s="34" t="s">
        <v>51</v>
      </c>
      <c r="AP1" s="34" t="s">
        <v>52</v>
      </c>
      <c r="AQ1" s="34" t="s">
        <v>53</v>
      </c>
      <c r="AR1" s="34" t="s">
        <v>54</v>
      </c>
    </row>
    <row r="2" spans="1:44">
      <c r="A2" s="56" t="s">
        <v>55</v>
      </c>
      <c r="B2" s="52"/>
      <c r="C2" s="52"/>
      <c r="D2" s="6">
        <f t="array" ref="D2">LOOKUP(2,1/ISNUMBER(Analysis!A:A),ROW(Analysis!A:A))</f>
        <v>40</v>
      </c>
      <c r="E2" s="6"/>
      <c r="F2" s="34">
        <v>0</v>
      </c>
      <c r="G2" s="46">
        <f t="shared" ref="G2:G102" ca="1" si="0">MIN(x1Data)+(MAX(x1Data)-MIN(x1Data))*(F2/100)</f>
        <v>0</v>
      </c>
      <c r="H2" s="34" t="e">
        <f t="shared" ref="H2:H102" si="1">IF($D$1=1,$C$11+$B$11*G2, IF($D$1=2,$B$11*G2^#REF!,IF($D$1=3,$D$11+$C$11*G2+$B$11*(G2)^2,IF($D$1=4,$E$11+$D$11*G2+$C$11*(G2)^2+$B$11*(G2)^3,IF($D$1=5,EXP($C$11)*G2^($B$11),IF($D$1=6,EXP($C$11+G2*$B$11), NA()))))))</f>
        <v>#N/A</v>
      </c>
      <c r="J2" s="34" t="e">
        <f t="shared" ref="J2:J102" ca="1" si="2">IFERROR(MIN(DA_x1data,DA_x2data)+(MAX(DA_x1data,DA_x2data)-MIN(DA_x1data,DA_x2data))*(F2/100), MIN(DA_x1data)+(MAX(DA_x1data)-MIN(DA_x1data))*(F2/100))</f>
        <v>#N/A</v>
      </c>
      <c r="K2" s="34" t="e">
        <f ca="1">IF($D$32=1,$B$48*J2+$C$48,IF($D$32=2,$B$48*J2^2+$C$48*J2+$D$48,IF($D$32=3,$B$48*J2^3+$C$48*J2^2+$D$48*J2+$E$48,IF($D$32=4,$B$48*J2^'Double Analysis'!$G$13,IF($D$32=5,EXP($C$48)*J2^$B$48,IF($D$32=6,EXP($C$48+J2*$B$48),NA()))))))</f>
        <v>#N/A</v>
      </c>
      <c r="L2" s="34" t="e">
        <f ca="1">IF($D$32=1,$B$54*J2+$C$54,IF($D$32=2,$B$54*J2^2+$C$54*J2+$D$54,IF($D$32=3,$B$54*J2^3+$C$54*J2^2+$D$54*J2+$E$54,IF($D$32=4,$B$54*J2^'Double Analysis'!$G$13,IF($D$32=5,EXP($C$54)*J2^$B$54,IF($D$32=6,EXP($C$54+J2*$B$54),NA()))))))</f>
        <v>#N/A</v>
      </c>
      <c r="N2" s="34">
        <f t="shared" ref="N2:N102" ca="1" si="3">IFERROR(SMALL($R$2:$R$102, ROW()-1),NA())</f>
        <v>0</v>
      </c>
      <c r="O2" s="47">
        <f t="shared" ref="O2:O102" ca="1" si="4">IF(ISNUMBER(N2),INDEX(y1Data,MATCH(N2,$R$2:$R$102,0)),NA())</f>
        <v>0.7</v>
      </c>
      <c r="P2" s="34" t="e">
        <f t="shared" ref="P2:P102" si="5">IF($D$1=7,O2,NA())</f>
        <v>#N/A</v>
      </c>
      <c r="Q2" s="46">
        <f t="array" ref="Q2:Q18" ca="1">IF(ISNUMBER(INDEX(x1Data,ROW()-1)),x1Data,"")</f>
        <v>0</v>
      </c>
      <c r="R2" s="46">
        <f t="shared" ref="R2:R102" ca="1" si="6">IF(Q2&lt;&gt;"",Q2+(0.0000000000001)*(COUNTIF($Q2:Q$102,Q2)-1),"")</f>
        <v>1E-13</v>
      </c>
      <c r="T2" s="34" t="e">
        <f t="array" aca="1" ref="T2" ca="1">DA_x1data</f>
        <v>#N/A</v>
      </c>
      <c r="U2" s="34" t="e">
        <f t="array" aca="1" ref="U2" ca="1">DA_y1data</f>
        <v>#N/A</v>
      </c>
      <c r="V2" s="34" t="e">
        <f t="array" aca="1" ref="V2" ca="1">DA_x2data</f>
        <v>#N/A</v>
      </c>
      <c r="W2" s="34" t="e">
        <f t="array" aca="1" ref="W2" ca="1">DA_y2data</f>
        <v>#N/A</v>
      </c>
      <c r="Y2" s="34" t="str">
        <f t="shared" ref="Y2:Y102" ca="1" si="7">IF(ISNUMBER(T2),T2," ")</f>
        <v xml:space="preserve"> </v>
      </c>
      <c r="Z2" s="34" t="e">
        <f t="shared" ref="Z2:Z102" ca="1" si="8">IFERROR(SMALL($Y$2:$Y$102,ROW()-1),NA())</f>
        <v>#N/A</v>
      </c>
      <c r="AA2" s="34" t="e">
        <f t="array" aca="1" ref="AA2" ca="1">IF(ISNUMBER(Z2),INDEX(DA_y1data,MATCH(Z2,$Y$2:$Y$102,0)),NA())</f>
        <v>#N/A</v>
      </c>
      <c r="AB2" s="34" t="e">
        <f t="shared" ref="AB2:AB102" si="9">IF($D$32=7,AA2,NA())</f>
        <v>#N/A</v>
      </c>
      <c r="AC2" s="34" t="str">
        <f t="shared" ref="AC2:AC102" ca="1" si="10">IF(ISNUMBER(V2),V2," ")</f>
        <v xml:space="preserve"> </v>
      </c>
      <c r="AD2" s="34" t="e">
        <f t="shared" ref="AD2:AD102" ca="1" si="11">IFERROR(SMALL($AC$2:$AC$102,ROW()-1),NA())</f>
        <v>#N/A</v>
      </c>
      <c r="AE2" s="34" t="e">
        <f t="array" aca="1" ref="AE2" ca="1">IF(ISNUMBER(AD2),INDEX(DA_y2data,MATCH(AD2,$AC$2:$AC$102,0)),NA())</f>
        <v>#N/A</v>
      </c>
      <c r="AF2" s="34" t="e">
        <f t="shared" ref="AF2:AF102" si="12">IF($D$32=7,AE2,NA())</f>
        <v>#N/A</v>
      </c>
      <c r="AH2" s="34" t="s">
        <v>56</v>
      </c>
      <c r="AI2" s="34">
        <v>1</v>
      </c>
      <c r="AK2" s="46">
        <f>MIN('Manual Fitting'!$A$3:$A$32)+(MAX('Manual Fitting'!$A$3:$A$32)-MIN('Manual Fitting'!$A$3:$A$17))*(Guts!F2/100)</f>
        <v>0</v>
      </c>
      <c r="AL2" s="46">
        <f t="shared" ref="AL2:AL102" si="13">IF($AI$1=1,IF(AND(ISNUMBER($AH$15),ISNUMBER($AH$16)),$AH$15+AK2*$AH$16,NA()),IF($AI$1=2,IF(AND(ISNUMBER($AH$15),ISNUMBER($AH$16),ISNUMBER($AH$17)),$AH$15/(1+((AK2-$AH$16)/$AH$17)^2),NA()),IF($AI$1=3,IF(AND(ISNUMBER($AH$15),ISNUMBER($AH$16),ISNUMBER($AH$17)),$AH$15*EXP((-1)*((AK2-$AH$16)/$AH$17)^2),NA()), IF($AI$1=4,IF(AND(ISNUMBER($AH$15),ISNUMBER($AH$16),ISNUMBER($AH$17),ISNUMBER($AH$18)),$AH$15*SIN((AK2*$AH$16)-$AH$17)+$AH$18,NA()),NA()))))</f>
        <v>0</v>
      </c>
      <c r="AN2" s="34" t="e">
        <f t="array" aca="1" ref="AN2" ca="1">mf_xData</f>
        <v>#N/A</v>
      </c>
      <c r="AO2" s="34" t="e">
        <f t="array" aca="1" ref="AO2" ca="1">mf_yData</f>
        <v>#N/A</v>
      </c>
      <c r="AP2" s="34" t="e">
        <f t="shared" ref="AP2:AP102" ca="1" si="14">IF($AI$1=1,IF(AND(ISNUMBER($AH$15),ISNUMBER($AH$16)),$AH$15+AN2*$AH$16,NA()),IF($AI$1=2,IF(AND(ISNUMBER($AH$15),ISNUMBER($AH$16),ISNUMBER($AH$17)),$AH$15/(1+((AN2-$AH$16)/$AH$17)^2),NA()), IF($AI$1=3,IF(AND(ISNUMBER($AH$15),ISNUMBER($AH$16),ISNUMBER($AH$17)),$AH$15*EXP(-(((AN2-$AH$16)/$AH$17)^2)),NA()),IF($AI$1=4,IF(AND(ISNUMBER($AH$15),ISNUMBER($AH$16),ISNUMBER($AH$17),ISNUMBER($AH$18)),$AH$15*SIN($AH$16*AN2-$AH$17)+$AH$18,NA()),NA()))))</f>
        <v>#N/A</v>
      </c>
      <c r="AQ2" s="48" t="e">
        <f t="shared" ref="AQ2:AQ102" ca="1" si="15">(AP2-AO2)^2</f>
        <v>#N/A</v>
      </c>
      <c r="AR2" s="48" t="e">
        <f t="shared" ref="AR2:AR102" ca="1" si="16">(AO2-$AO$104)^2</f>
        <v>#N/A</v>
      </c>
    </row>
    <row r="3" spans="1:44">
      <c r="A3" s="56" t="s">
        <v>57</v>
      </c>
      <c r="B3" s="52"/>
      <c r="C3" s="52"/>
      <c r="D3" s="6">
        <f t="array" ref="D3">LOOKUP(2,1/ISNUMBER(Analysis!B:B),ROW(Analysis!B:B))</f>
        <v>40</v>
      </c>
      <c r="E3" s="6"/>
      <c r="F3" s="34">
        <v>1</v>
      </c>
      <c r="G3" s="46">
        <f t="shared" ca="1" si="0"/>
        <v>80</v>
      </c>
      <c r="H3" s="34" t="e">
        <f t="shared" si="1"/>
        <v>#N/A</v>
      </c>
      <c r="J3" s="34" t="e">
        <f t="shared" ca="1" si="2"/>
        <v>#N/A</v>
      </c>
      <c r="K3" s="34" t="e">
        <f ca="1">IF($D$32=1,$B$48*J3+$C$48,IF($D$32=2,$B$48*J3^2+$C$48*J3+$D$48,IF($D$32=3,$B$48*J3^3+$C$48*J3^2+$D$48*J3+$E$48,IF($D$32=4,$B$48*J3^'Double Analysis'!$G$13,IF($D$32=5,EXP($C$48)*J3^$B$48,IF($D$32=6,EXP($C$48+J3*$B$48),NA()))))))</f>
        <v>#N/A</v>
      </c>
      <c r="L3" s="34" t="e">
        <f ca="1">IF($D$32=1,$B$54*J3+$C$54,IF($D$32=2,$B$54*J3^2+$C$54*J3+$D$54,IF($D$32=3,$B$54*J3^3+$C$54*J3^2+$D$54*J3+$E$54,IF($D$32=4,$B$54*J3^'Double Analysis'!$G$13,IF($D$32=5,EXP($C$54)*J3^$B$54,IF($D$32=6,EXP($C$54+J3*$B$54),NA()))))))</f>
        <v>#N/A</v>
      </c>
      <c r="N3" s="34">
        <f t="shared" ca="1" si="3"/>
        <v>1E-13</v>
      </c>
      <c r="O3" s="47">
        <f t="shared" ca="1" si="4"/>
        <v>0</v>
      </c>
      <c r="P3" s="34" t="e">
        <f t="shared" si="5"/>
        <v>#N/A</v>
      </c>
      <c r="Q3" s="46">
        <f ca="1"/>
        <v>1000</v>
      </c>
      <c r="R3" s="46">
        <f t="shared" ca="1" si="6"/>
        <v>1000.0000000000001</v>
      </c>
      <c r="Y3" s="34" t="str">
        <f t="shared" si="7"/>
        <v xml:space="preserve"> </v>
      </c>
      <c r="Z3" s="34" t="e">
        <f t="shared" ca="1" si="8"/>
        <v>#N/A</v>
      </c>
      <c r="AA3" s="34" t="e">
        <f t="array" aca="1" ref="AA3" ca="1">IF(ISNUMBER(Z3),INDEX(DA_y1data,MATCH(Z3,$Y$2:$Y$102,0)),NA())</f>
        <v>#N/A</v>
      </c>
      <c r="AB3" s="34" t="e">
        <f t="shared" si="9"/>
        <v>#N/A</v>
      </c>
      <c r="AC3" s="34" t="str">
        <f t="shared" si="10"/>
        <v xml:space="preserve"> </v>
      </c>
      <c r="AD3" s="34" t="e">
        <f t="shared" ca="1" si="11"/>
        <v>#N/A</v>
      </c>
      <c r="AE3" s="34" t="e">
        <f t="array" aca="1" ref="AE3" ca="1">IF(ISNUMBER(AD3),INDEX(DA_y2data,MATCH(AD3,$AC$2:$AC$102,0)),NA())</f>
        <v>#N/A</v>
      </c>
      <c r="AF3" s="34" t="e">
        <f t="shared" si="12"/>
        <v>#N/A</v>
      </c>
      <c r="AK3" s="46">
        <f>MIN('Manual Fitting'!$A$3:$A$32)+(MAX('Manual Fitting'!$A$3:$A$32)-MIN('Manual Fitting'!$A$3:$A$17))*(Guts!F3/100)</f>
        <v>0</v>
      </c>
      <c r="AL3" s="46">
        <f t="shared" si="13"/>
        <v>0</v>
      </c>
      <c r="AP3" s="46">
        <f t="shared" si="14"/>
        <v>0</v>
      </c>
      <c r="AQ3" s="48">
        <f t="shared" si="15"/>
        <v>0</v>
      </c>
      <c r="AR3" s="48" t="e">
        <f t="shared" ca="1" si="16"/>
        <v>#N/A</v>
      </c>
    </row>
    <row r="4" spans="1:44">
      <c r="A4" s="56" t="s">
        <v>58</v>
      </c>
      <c r="B4" s="52"/>
      <c r="C4" s="52"/>
      <c r="D4" s="49">
        <f>MIN(D2,D3)</f>
        <v>40</v>
      </c>
      <c r="E4" s="6"/>
      <c r="F4" s="34">
        <v>2</v>
      </c>
      <c r="G4" s="46">
        <f t="shared" ca="1" si="0"/>
        <v>160</v>
      </c>
      <c r="H4" s="34" t="e">
        <f t="shared" si="1"/>
        <v>#N/A</v>
      </c>
      <c r="J4" s="34" t="e">
        <f t="shared" ca="1" si="2"/>
        <v>#N/A</v>
      </c>
      <c r="K4" s="34" t="e">
        <f ca="1">IF($D$32=1,$B$48*J4+$C$48,IF($D$32=2,$B$48*J4^2+$C$48*J4+$D$48,IF($D$32=3,$B$48*J4^3+$C$48*J4^2+$D$48*J4+$E$48,IF($D$32=4,$B$48*J4^'Double Analysis'!$G$13,IF($D$32=5,EXP($C$48)*J4^$B$48,IF($D$32=6,EXP($C$48+J4*$B$48),NA()))))))</f>
        <v>#N/A</v>
      </c>
      <c r="L4" s="34" t="e">
        <f ca="1">IF($D$32=1,$B$54*J4+$C$54,IF($D$32=2,$B$54*J4^2+$C$54*J4+$D$54,IF($D$32=3,$B$54*J4^3+$C$54*J4^2+$D$54*J4+$E$54,IF($D$32=4,$B$54*J4^'Double Analysis'!$G$13,IF($D$32=5,EXP($C$54)*J4^$B$54,IF($D$32=6,EXP($C$54+J4*$B$54),NA()))))))</f>
        <v>#N/A</v>
      </c>
      <c r="N4" s="34">
        <f t="shared" ca="1" si="3"/>
        <v>1000</v>
      </c>
      <c r="O4" s="47">
        <f t="shared" ca="1" si="4"/>
        <v>5.22</v>
      </c>
      <c r="P4" s="34" t="e">
        <f t="shared" si="5"/>
        <v>#N/A</v>
      </c>
      <c r="Q4" s="46">
        <f ca="1"/>
        <v>2000</v>
      </c>
      <c r="R4" s="46">
        <f t="shared" ca="1" si="6"/>
        <v>2000</v>
      </c>
      <c r="Y4" s="34" t="str">
        <f t="shared" si="7"/>
        <v xml:space="preserve"> </v>
      </c>
      <c r="Z4" s="34" t="e">
        <f t="shared" ca="1" si="8"/>
        <v>#N/A</v>
      </c>
      <c r="AA4" s="34" t="e">
        <f t="array" aca="1" ref="AA4" ca="1">IF(ISNUMBER(Z4),INDEX(DA_y1data,MATCH(Z4,$Y$2:$Y$102,0)),NA())</f>
        <v>#N/A</v>
      </c>
      <c r="AB4" s="34" t="e">
        <f t="shared" si="9"/>
        <v>#N/A</v>
      </c>
      <c r="AC4" s="34" t="str">
        <f t="shared" si="10"/>
        <v xml:space="preserve"> </v>
      </c>
      <c r="AD4" s="34" t="e">
        <f t="shared" ca="1" si="11"/>
        <v>#N/A</v>
      </c>
      <c r="AE4" s="34" t="e">
        <f t="array" aca="1" ref="AE4" ca="1">IF(ISNUMBER(AD4),INDEX(DA_y2data,MATCH(AD4,$AC$2:$AC$102,0)),NA())</f>
        <v>#N/A</v>
      </c>
      <c r="AF4" s="34" t="e">
        <f t="shared" si="12"/>
        <v>#N/A</v>
      </c>
      <c r="AK4" s="46">
        <f>MIN('Manual Fitting'!$A$3:$A$32)+(MAX('Manual Fitting'!$A$3:$A$32)-MIN('Manual Fitting'!$A$3:$A$17))*(Guts!F4/100)</f>
        <v>0</v>
      </c>
      <c r="AL4" s="46">
        <f t="shared" si="13"/>
        <v>0</v>
      </c>
      <c r="AP4" s="46">
        <f t="shared" si="14"/>
        <v>0</v>
      </c>
      <c r="AQ4" s="48">
        <f t="shared" si="15"/>
        <v>0</v>
      </c>
      <c r="AR4" s="48" t="e">
        <f t="shared" ca="1" si="16"/>
        <v>#N/A</v>
      </c>
    </row>
    <row r="5" spans="1:44">
      <c r="A5" s="56" t="s">
        <v>59</v>
      </c>
      <c r="B5" s="52"/>
      <c r="C5" s="52"/>
      <c r="D5" s="6">
        <f t="array" ref="D5">MATCH(TRUE,ISNUMBER(Analysis!$A:$A),0)</f>
        <v>2</v>
      </c>
      <c r="E5" s="6"/>
      <c r="F5" s="34">
        <v>3</v>
      </c>
      <c r="G5" s="46">
        <f t="shared" ca="1" si="0"/>
        <v>240</v>
      </c>
      <c r="H5" s="34" t="e">
        <f t="shared" si="1"/>
        <v>#N/A</v>
      </c>
      <c r="J5" s="34" t="e">
        <f t="shared" ca="1" si="2"/>
        <v>#N/A</v>
      </c>
      <c r="K5" s="34" t="e">
        <f ca="1">IF($D$32=1,$B$48*J5+$C$48,IF($D$32=2,$B$48*J5^2+$C$48*J5+$D$48,IF($D$32=3,$B$48*J5^3+$C$48*J5^2+$D$48*J5+$E$48,IF($D$32=4,$B$48*J5^'Double Analysis'!$G$13,IF($D$32=5,EXP($C$48)*J5^$B$48,IF($D$32=6,EXP($C$48+J5*$B$48),NA()))))))</f>
        <v>#N/A</v>
      </c>
      <c r="L5" s="34" t="e">
        <f ca="1">IF($D$32=1,$B$54*J5+$C$54,IF($D$32=2,$B$54*J5^2+$C$54*J5+$D$54,IF($D$32=3,$B$54*J5^3+$C$54*J5^2+$D$54*J5+$E$54,IF($D$32=4,$B$54*J5^'Double Analysis'!$G$13,IF($D$32=5,EXP($C$54)*J5^$B$54,IF($D$32=6,EXP($C$54+J5*$B$54),NA()))))))</f>
        <v>#N/A</v>
      </c>
      <c r="N5" s="34">
        <f t="shared" ca="1" si="3"/>
        <v>1000.0000000000001</v>
      </c>
      <c r="O5" s="47">
        <f t="shared" ca="1" si="4"/>
        <v>4.18</v>
      </c>
      <c r="P5" s="34" t="e">
        <f t="shared" si="5"/>
        <v>#N/A</v>
      </c>
      <c r="Q5" s="46">
        <f ca="1"/>
        <v>3000</v>
      </c>
      <c r="R5" s="46">
        <f t="shared" ca="1" si="6"/>
        <v>3000</v>
      </c>
      <c r="Y5" s="34" t="str">
        <f t="shared" si="7"/>
        <v xml:space="preserve"> </v>
      </c>
      <c r="Z5" s="34" t="e">
        <f t="shared" ca="1" si="8"/>
        <v>#N/A</v>
      </c>
      <c r="AA5" s="34" t="e">
        <f t="array" aca="1" ref="AA5" ca="1">IF(ISNUMBER(Z5),INDEX(DA_y1data,MATCH(Z5,$Y$2:$Y$102,0)),NA())</f>
        <v>#N/A</v>
      </c>
      <c r="AB5" s="34" t="e">
        <f t="shared" si="9"/>
        <v>#N/A</v>
      </c>
      <c r="AC5" s="34" t="str">
        <f t="shared" si="10"/>
        <v xml:space="preserve"> </v>
      </c>
      <c r="AD5" s="34" t="e">
        <f t="shared" ca="1" si="11"/>
        <v>#N/A</v>
      </c>
      <c r="AE5" s="34" t="e">
        <f t="array" aca="1" ref="AE5" ca="1">IF(ISNUMBER(AD5),INDEX(DA_y2data,MATCH(AD5,$AC$2:$AC$102,0)),NA())</f>
        <v>#N/A</v>
      </c>
      <c r="AF5" s="34" t="e">
        <f t="shared" si="12"/>
        <v>#N/A</v>
      </c>
      <c r="AH5" s="34" t="s">
        <v>60</v>
      </c>
      <c r="AI5" s="6" t="s">
        <v>61</v>
      </c>
      <c r="AK5" s="46">
        <f>MIN('Manual Fitting'!$A$3:$A$32)+(MAX('Manual Fitting'!$A$3:$A$32)-MIN('Manual Fitting'!$A$3:$A$17))*(Guts!F5/100)</f>
        <v>0</v>
      </c>
      <c r="AL5" s="46">
        <f t="shared" si="13"/>
        <v>0</v>
      </c>
      <c r="AP5" s="46">
        <f t="shared" si="14"/>
        <v>0</v>
      </c>
      <c r="AQ5" s="48">
        <f t="shared" si="15"/>
        <v>0</v>
      </c>
      <c r="AR5" s="48" t="e">
        <f t="shared" ca="1" si="16"/>
        <v>#N/A</v>
      </c>
    </row>
    <row r="6" spans="1:44">
      <c r="A6" s="56" t="s">
        <v>62</v>
      </c>
      <c r="B6" s="52"/>
      <c r="C6" s="52"/>
      <c r="D6" s="6">
        <f t="array" ref="D6">MATCH(TRUE,ISNUMBER(Analysis!$B:$B),0)</f>
        <v>2</v>
      </c>
      <c r="E6" s="6"/>
      <c r="F6" s="34">
        <v>4</v>
      </c>
      <c r="G6" s="46">
        <f t="shared" ca="1" si="0"/>
        <v>320</v>
      </c>
      <c r="H6" s="34" t="e">
        <f t="shared" si="1"/>
        <v>#N/A</v>
      </c>
      <c r="J6" s="34" t="e">
        <f t="shared" ca="1" si="2"/>
        <v>#N/A</v>
      </c>
      <c r="K6" s="34" t="e">
        <f ca="1">IF($D$32=1,$B$48*J6+$C$48,IF($D$32=2,$B$48*J6^2+$C$48*J6+$D$48,IF($D$32=3,$B$48*J6^3+$C$48*J6^2+$D$48*J6+$E$48,IF($D$32=4,$B$48*J6^'Double Analysis'!$G$13,IF($D$32=5,EXP($C$48)*J6^$B$48,IF($D$32=6,EXP($C$48+J6*$B$48),NA()))))))</f>
        <v>#N/A</v>
      </c>
      <c r="L6" s="34" t="e">
        <f ca="1">IF($D$32=1,$B$54*J6+$C$54,IF($D$32=2,$B$54*J6^2+$C$54*J6+$D$54,IF($D$32=3,$B$54*J6^3+$C$54*J6^2+$D$54*J6+$E$54,IF($D$32=4,$B$54*J6^'Double Analysis'!$G$13,IF($D$32=5,EXP($C$54)*J6^$B$54,IF($D$32=6,EXP($C$54+J6*$B$54),NA()))))))</f>
        <v>#N/A</v>
      </c>
      <c r="N6" s="34">
        <f t="shared" ca="1" si="3"/>
        <v>2000</v>
      </c>
      <c r="O6" s="47">
        <f t="shared" ca="1" si="4"/>
        <v>7.74</v>
      </c>
      <c r="P6" s="34" t="e">
        <f t="shared" si="5"/>
        <v>#N/A</v>
      </c>
      <c r="Q6" s="46">
        <f ca="1"/>
        <v>4000</v>
      </c>
      <c r="R6" s="46">
        <f t="shared" ca="1" si="6"/>
        <v>4000</v>
      </c>
      <c r="Y6" s="34" t="str">
        <f t="shared" si="7"/>
        <v xml:space="preserve"> </v>
      </c>
      <c r="Z6" s="34" t="e">
        <f t="shared" ca="1" si="8"/>
        <v>#N/A</v>
      </c>
      <c r="AA6" s="34" t="e">
        <f t="array" aca="1" ref="AA6" ca="1">IF(ISNUMBER(Z6),INDEX(DA_y1data,MATCH(Z6,$Y$2:$Y$102,0)),NA())</f>
        <v>#N/A</v>
      </c>
      <c r="AB6" s="34" t="e">
        <f t="shared" si="9"/>
        <v>#N/A</v>
      </c>
      <c r="AC6" s="34" t="str">
        <f t="shared" si="10"/>
        <v xml:space="preserve"> </v>
      </c>
      <c r="AD6" s="34" t="e">
        <f t="shared" ca="1" si="11"/>
        <v>#N/A</v>
      </c>
      <c r="AE6" s="34" t="e">
        <f t="array" aca="1" ref="AE6" ca="1">IF(ISNUMBER(AD6),INDEX(DA_y2data,MATCH(AD6,$AC$2:$AC$102,0)),NA())</f>
        <v>#N/A</v>
      </c>
      <c r="AF6" s="34" t="e">
        <f t="shared" si="12"/>
        <v>#N/A</v>
      </c>
      <c r="AH6" s="34" t="s">
        <v>63</v>
      </c>
      <c r="AI6" s="6" t="s">
        <v>64</v>
      </c>
      <c r="AK6" s="46">
        <f>MIN('Manual Fitting'!$A$3:$A$32)+(MAX('Manual Fitting'!$A$3:$A$32)-MIN('Manual Fitting'!$A$3:$A$17))*(Guts!F6/100)</f>
        <v>0</v>
      </c>
      <c r="AL6" s="46">
        <f t="shared" si="13"/>
        <v>0</v>
      </c>
      <c r="AP6" s="46">
        <f t="shared" si="14"/>
        <v>0</v>
      </c>
      <c r="AQ6" s="48">
        <f t="shared" si="15"/>
        <v>0</v>
      </c>
      <c r="AR6" s="48" t="e">
        <f t="shared" ca="1" si="16"/>
        <v>#N/A</v>
      </c>
    </row>
    <row r="7" spans="1:44">
      <c r="A7" s="56" t="s">
        <v>65</v>
      </c>
      <c r="B7" s="52"/>
      <c r="C7" s="52"/>
      <c r="D7" s="49">
        <f>MAX(D5:D6)</f>
        <v>2</v>
      </c>
      <c r="E7" s="6"/>
      <c r="F7" s="34">
        <v>5</v>
      </c>
      <c r="G7" s="46">
        <f t="shared" ca="1" si="0"/>
        <v>400</v>
      </c>
      <c r="H7" s="34" t="e">
        <f t="shared" si="1"/>
        <v>#N/A</v>
      </c>
      <c r="J7" s="34" t="e">
        <f t="shared" ca="1" si="2"/>
        <v>#N/A</v>
      </c>
      <c r="K7" s="34" t="e">
        <f ca="1">IF($D$32=1,$B$48*J7+$C$48,IF($D$32=2,$B$48*J7^2+$C$48*J7+$D$48,IF($D$32=3,$B$48*J7^3+$C$48*J7^2+$D$48*J7+$E$48,IF($D$32=4,$B$48*J7^'Double Analysis'!$G$13,IF($D$32=5,EXP($C$48)*J7^$B$48,IF($D$32=6,EXP($C$48+J7*$B$48),NA()))))))</f>
        <v>#N/A</v>
      </c>
      <c r="L7" s="34" t="e">
        <f ca="1">IF($D$32=1,$B$54*J7+$C$54,IF($D$32=2,$B$54*J7^2+$C$54*J7+$D$54,IF($D$32=3,$B$54*J7^3+$C$54*J7^2+$D$54*J7+$E$54,IF($D$32=4,$B$54*J7^'Double Analysis'!$G$13,IF($D$32=5,EXP($C$54)*J7^$B$54,IF($D$32=6,EXP($C$54+J7*$B$54),NA()))))))</f>
        <v>#N/A</v>
      </c>
      <c r="N7" s="34">
        <f t="shared" ca="1" si="3"/>
        <v>2000</v>
      </c>
      <c r="O7" s="47">
        <f t="shared" ca="1" si="4"/>
        <v>7.74</v>
      </c>
      <c r="P7" s="34" t="e">
        <f t="shared" si="5"/>
        <v>#N/A</v>
      </c>
      <c r="Q7" s="46">
        <f ca="1"/>
        <v>5000</v>
      </c>
      <c r="R7" s="46">
        <f t="shared" ca="1" si="6"/>
        <v>5000</v>
      </c>
      <c r="Y7" s="34" t="str">
        <f t="shared" si="7"/>
        <v xml:space="preserve"> </v>
      </c>
      <c r="Z7" s="34" t="e">
        <f t="shared" ca="1" si="8"/>
        <v>#N/A</v>
      </c>
      <c r="AA7" s="34" t="e">
        <f t="array" aca="1" ref="AA7" ca="1">IF(ISNUMBER(Z7),INDEX(DA_y1data,MATCH(Z7,$Y$2:$Y$102,0)),NA())</f>
        <v>#N/A</v>
      </c>
      <c r="AB7" s="34" t="e">
        <f t="shared" si="9"/>
        <v>#N/A</v>
      </c>
      <c r="AC7" s="34" t="str">
        <f t="shared" si="10"/>
        <v xml:space="preserve"> </v>
      </c>
      <c r="AD7" s="34" t="e">
        <f t="shared" ca="1" si="11"/>
        <v>#N/A</v>
      </c>
      <c r="AE7" s="34" t="e">
        <f t="array" aca="1" ref="AE7" ca="1">IF(ISNUMBER(AD7),INDEX(DA_y2data,MATCH(AD7,$AC$2:$AC$102,0)),NA())</f>
        <v>#N/A</v>
      </c>
      <c r="AF7" s="34" t="e">
        <f t="shared" si="12"/>
        <v>#N/A</v>
      </c>
      <c r="AH7" s="34" t="s">
        <v>66</v>
      </c>
      <c r="AI7" s="6" t="s">
        <v>67</v>
      </c>
      <c r="AK7" s="46">
        <f>MIN('Manual Fitting'!$A$3:$A$32)+(MAX('Manual Fitting'!$A$3:$A$32)-MIN('Manual Fitting'!$A$3:$A$17))*(Guts!F7/100)</f>
        <v>0</v>
      </c>
      <c r="AL7" s="46">
        <f t="shared" si="13"/>
        <v>0</v>
      </c>
      <c r="AP7" s="46">
        <f t="shared" si="14"/>
        <v>0</v>
      </c>
      <c r="AQ7" s="48">
        <f t="shared" si="15"/>
        <v>0</v>
      </c>
      <c r="AR7" s="48" t="e">
        <f t="shared" ca="1" si="16"/>
        <v>#N/A</v>
      </c>
    </row>
    <row r="8" spans="1:44">
      <c r="A8" s="6"/>
      <c r="B8" s="6"/>
      <c r="C8" s="6"/>
      <c r="D8" s="6"/>
      <c r="E8" s="6"/>
      <c r="F8" s="34">
        <v>6</v>
      </c>
      <c r="G8" s="46">
        <f t="shared" ca="1" si="0"/>
        <v>480</v>
      </c>
      <c r="H8" s="34" t="e">
        <f t="shared" si="1"/>
        <v>#N/A</v>
      </c>
      <c r="J8" s="34" t="e">
        <f t="shared" ca="1" si="2"/>
        <v>#N/A</v>
      </c>
      <c r="K8" s="34" t="e">
        <f ca="1">IF($D$32=1,$B$48*J8+$C$48,IF($D$32=2,$B$48*J8^2+$C$48*J8+$D$48,IF($D$32=3,$B$48*J8^3+$C$48*J8^2+$D$48*J8+$E$48,IF($D$32=4,$B$48*J8^'Double Analysis'!$G$13,IF($D$32=5,EXP($C$48)*J8^$B$48,IF($D$32=6,EXP($C$48+J8*$B$48),NA()))))))</f>
        <v>#N/A</v>
      </c>
      <c r="L8" s="34" t="e">
        <f ca="1">IF($D$32=1,$B$54*J8+$C$54,IF($D$32=2,$B$54*J8^2+$C$54*J8+$D$54,IF($D$32=3,$B$54*J8^3+$C$54*J8^2+$D$54*J8+$E$54,IF($D$32=4,$B$54*J8^'Double Analysis'!$G$13,IF($D$32=5,EXP($C$54)*J8^$B$54,IF($D$32=6,EXP($C$54+J8*$B$54),NA()))))))</f>
        <v>#N/A</v>
      </c>
      <c r="N8" s="34">
        <f t="shared" ca="1" si="3"/>
        <v>3000</v>
      </c>
      <c r="O8" s="47">
        <f t="shared" ca="1" si="4"/>
        <v>11.36</v>
      </c>
      <c r="P8" s="34" t="e">
        <f t="shared" si="5"/>
        <v>#N/A</v>
      </c>
      <c r="Q8" s="46">
        <f ca="1"/>
        <v>6000</v>
      </c>
      <c r="R8" s="46">
        <f t="shared" ca="1" si="6"/>
        <v>6000</v>
      </c>
      <c r="Y8" s="34" t="str">
        <f t="shared" si="7"/>
        <v xml:space="preserve"> </v>
      </c>
      <c r="Z8" s="34" t="e">
        <f t="shared" ca="1" si="8"/>
        <v>#N/A</v>
      </c>
      <c r="AA8" s="34" t="e">
        <f t="array" aca="1" ref="AA8" ca="1">IF(ISNUMBER(Z8),INDEX(DA_y1data,MATCH(Z8,$Y$2:$Y$102,0)),NA())</f>
        <v>#N/A</v>
      </c>
      <c r="AB8" s="34" t="e">
        <f t="shared" si="9"/>
        <v>#N/A</v>
      </c>
      <c r="AC8" s="34" t="str">
        <f t="shared" si="10"/>
        <v xml:space="preserve"> </v>
      </c>
      <c r="AD8" s="34" t="e">
        <f t="shared" ca="1" si="11"/>
        <v>#N/A</v>
      </c>
      <c r="AE8" s="34" t="e">
        <f t="array" aca="1" ref="AE8" ca="1">IF(ISNUMBER(AD8),INDEX(DA_y2data,MATCH(AD8,$AC$2:$AC$102,0)),NA())</f>
        <v>#N/A</v>
      </c>
      <c r="AF8" s="34" t="e">
        <f t="shared" si="12"/>
        <v>#N/A</v>
      </c>
      <c r="AH8" s="34" t="s">
        <v>68</v>
      </c>
      <c r="AI8" s="6" t="s">
        <v>69</v>
      </c>
      <c r="AK8" s="46">
        <f>MIN('Manual Fitting'!$A$3:$A$32)+(MAX('Manual Fitting'!$A$3:$A$32)-MIN('Manual Fitting'!$A$3:$A$17))*(Guts!F8/100)</f>
        <v>0</v>
      </c>
      <c r="AL8" s="46">
        <f t="shared" si="13"/>
        <v>0</v>
      </c>
      <c r="AP8" s="46">
        <f t="shared" si="14"/>
        <v>0</v>
      </c>
      <c r="AQ8" s="48">
        <f t="shared" si="15"/>
        <v>0</v>
      </c>
      <c r="AR8" s="48" t="e">
        <f t="shared" ca="1" si="16"/>
        <v>#N/A</v>
      </c>
    </row>
    <row r="9" spans="1:44">
      <c r="A9" s="6"/>
      <c r="B9" s="6"/>
      <c r="C9" s="6"/>
      <c r="D9" s="6"/>
      <c r="E9" s="6"/>
      <c r="F9" s="34">
        <v>7</v>
      </c>
      <c r="G9" s="46">
        <f t="shared" ca="1" si="0"/>
        <v>560</v>
      </c>
      <c r="H9" s="34" t="e">
        <f t="shared" si="1"/>
        <v>#N/A</v>
      </c>
      <c r="J9" s="34" t="e">
        <f t="shared" ca="1" si="2"/>
        <v>#N/A</v>
      </c>
      <c r="K9" s="34" t="e">
        <f ca="1">IF($D$32=1,$B$48*J9+$C$48,IF($D$32=2,$B$48*J9^2+$C$48*J9+$D$48,IF($D$32=3,$B$48*J9^3+$C$48*J9^2+$D$48*J9+$E$48,IF($D$32=4,$B$48*J9^'Double Analysis'!$G$13,IF($D$32=5,EXP($C$48)*J9^$B$48,IF($D$32=6,EXP($C$48+J9*$B$48),NA()))))))</f>
        <v>#N/A</v>
      </c>
      <c r="L9" s="34" t="e">
        <f ca="1">IF($D$32=1,$B$54*J9+$C$54,IF($D$32=2,$B$54*J9^2+$C$54*J9+$D$54,IF($D$32=3,$B$54*J9^3+$C$54*J9^2+$D$54*J9+$E$54,IF($D$32=4,$B$54*J9^'Double Analysis'!$G$13,IF($D$32=5,EXP($C$54)*J9^$B$54,IF($D$32=6,EXP($C$54+J9*$B$54),NA()))))))</f>
        <v>#N/A</v>
      </c>
      <c r="N9" s="34">
        <f t="shared" ca="1" si="3"/>
        <v>3000</v>
      </c>
      <c r="O9" s="47">
        <f t="shared" ca="1" si="4"/>
        <v>11.36</v>
      </c>
      <c r="P9" s="34" t="e">
        <f t="shared" si="5"/>
        <v>#N/A</v>
      </c>
      <c r="Q9" s="46">
        <f ca="1"/>
        <v>7000</v>
      </c>
      <c r="R9" s="46">
        <f t="shared" ca="1" si="6"/>
        <v>7000</v>
      </c>
      <c r="Y9" s="34" t="str">
        <f t="shared" si="7"/>
        <v xml:space="preserve"> </v>
      </c>
      <c r="Z9" s="34" t="e">
        <f t="shared" ca="1" si="8"/>
        <v>#N/A</v>
      </c>
      <c r="AA9" s="34" t="e">
        <f t="array" aca="1" ref="AA9" ca="1">IF(ISNUMBER(Z9),INDEX(DA_y1data,MATCH(Z9,$Y$2:$Y$102,0)),NA())</f>
        <v>#N/A</v>
      </c>
      <c r="AB9" s="34" t="e">
        <f t="shared" si="9"/>
        <v>#N/A</v>
      </c>
      <c r="AC9" s="34" t="str">
        <f t="shared" si="10"/>
        <v xml:space="preserve"> </v>
      </c>
      <c r="AD9" s="34" t="e">
        <f t="shared" ca="1" si="11"/>
        <v>#N/A</v>
      </c>
      <c r="AE9" s="34" t="e">
        <f t="array" aca="1" ref="AE9" ca="1">IF(ISNUMBER(AD9),INDEX(DA_y2data,MATCH(AD9,$AC$2:$AC$102,0)),NA())</f>
        <v>#N/A</v>
      </c>
      <c r="AF9" s="34" t="e">
        <f t="shared" si="12"/>
        <v>#N/A</v>
      </c>
      <c r="AI9" s="6"/>
      <c r="AK9" s="46">
        <f>MIN('Manual Fitting'!$A$3:$A$32)+(MAX('Manual Fitting'!$A$3:$A$32)-MIN('Manual Fitting'!$A$3:$A$17))*(Guts!F9/100)</f>
        <v>0</v>
      </c>
      <c r="AL9" s="46">
        <f t="shared" si="13"/>
        <v>0</v>
      </c>
      <c r="AP9" s="46">
        <f t="shared" si="14"/>
        <v>0</v>
      </c>
      <c r="AQ9" s="48">
        <f t="shared" si="15"/>
        <v>0</v>
      </c>
      <c r="AR9" s="48" t="e">
        <f t="shared" ca="1" si="16"/>
        <v>#N/A</v>
      </c>
    </row>
    <row r="10" spans="1:44">
      <c r="A10" s="6" t="s">
        <v>70</v>
      </c>
      <c r="B10" s="6"/>
      <c r="C10" s="6"/>
      <c r="D10" s="6"/>
      <c r="E10" s="6"/>
      <c r="F10" s="34">
        <v>8</v>
      </c>
      <c r="G10" s="46">
        <f t="shared" ca="1" si="0"/>
        <v>640</v>
      </c>
      <c r="H10" s="34" t="e">
        <f t="shared" si="1"/>
        <v>#N/A</v>
      </c>
      <c r="J10" s="34" t="e">
        <f t="shared" ca="1" si="2"/>
        <v>#N/A</v>
      </c>
      <c r="K10" s="34" t="e">
        <f ca="1">IF($D$32=1,$B$48*J10+$C$48,IF($D$32=2,$B$48*J10^2+$C$48*J10+$D$48,IF($D$32=3,$B$48*J10^3+$C$48*J10^2+$D$48*J10+$E$48,IF($D$32=4,$B$48*J10^'Double Analysis'!$G$13,IF($D$32=5,EXP($C$48)*J10^$B$48,IF($D$32=6,EXP($C$48+J10*$B$48),NA()))))))</f>
        <v>#N/A</v>
      </c>
      <c r="L10" s="34" t="e">
        <f ca="1">IF($D$32=1,$B$54*J10+$C$54,IF($D$32=2,$B$54*J10^2+$C$54*J10+$D$54,IF($D$32=3,$B$54*J10^3+$C$54*J10^2+$D$54*J10+$E$54,IF($D$32=4,$B$54*J10^'Double Analysis'!$G$13,IF($D$32=5,EXP($C$54)*J10^$B$54,IF($D$32=6,EXP($C$54+J10*$B$54),NA()))))))</f>
        <v>#N/A</v>
      </c>
      <c r="N10" s="34">
        <f t="shared" ca="1" si="3"/>
        <v>4000</v>
      </c>
      <c r="O10" s="47">
        <f t="shared" ca="1" si="4"/>
        <v>15.08</v>
      </c>
      <c r="P10" s="34" t="e">
        <f t="shared" si="5"/>
        <v>#N/A</v>
      </c>
      <c r="Q10" s="46">
        <f ca="1"/>
        <v>8000</v>
      </c>
      <c r="R10" s="46">
        <f t="shared" ca="1" si="6"/>
        <v>8000</v>
      </c>
      <c r="Y10" s="34" t="str">
        <f t="shared" si="7"/>
        <v xml:space="preserve"> </v>
      </c>
      <c r="Z10" s="34" t="e">
        <f t="shared" ca="1" si="8"/>
        <v>#N/A</v>
      </c>
      <c r="AA10" s="34" t="e">
        <f t="array" aca="1" ref="AA10" ca="1">IF(ISNUMBER(Z10),INDEX(DA_y1data,MATCH(Z10,$Y$2:$Y$102,0)),NA())</f>
        <v>#N/A</v>
      </c>
      <c r="AB10" s="34" t="e">
        <f t="shared" si="9"/>
        <v>#N/A</v>
      </c>
      <c r="AC10" s="34" t="str">
        <f t="shared" si="10"/>
        <v xml:space="preserve"> </v>
      </c>
      <c r="AD10" s="34" t="e">
        <f t="shared" ca="1" si="11"/>
        <v>#N/A</v>
      </c>
      <c r="AE10" s="34" t="e">
        <f t="array" aca="1" ref="AE10" ca="1">IF(ISNUMBER(AD10),INDEX(DA_y2data,MATCH(AD10,$AC$2:$AC$102,0)),NA())</f>
        <v>#N/A</v>
      </c>
      <c r="AF10" s="34" t="e">
        <f t="shared" si="12"/>
        <v>#N/A</v>
      </c>
      <c r="AI10" s="12"/>
      <c r="AK10" s="46">
        <f>MIN('Manual Fitting'!$A$3:$A$32)+(MAX('Manual Fitting'!$A$3:$A$32)-MIN('Manual Fitting'!$A$3:$A$17))*(Guts!F10/100)</f>
        <v>0</v>
      </c>
      <c r="AL10" s="46">
        <f t="shared" si="13"/>
        <v>0</v>
      </c>
      <c r="AP10" s="46">
        <f t="shared" si="14"/>
        <v>0</v>
      </c>
      <c r="AQ10" s="48">
        <f t="shared" si="15"/>
        <v>0</v>
      </c>
      <c r="AR10" s="48" t="e">
        <f t="shared" ca="1" si="16"/>
        <v>#N/A</v>
      </c>
    </row>
    <row r="11" spans="1:44">
      <c r="A11" s="6" t="s">
        <v>71</v>
      </c>
      <c r="B11" s="6" t="e">
        <f t="array" ref="B11">IF(D1=1,LINEST(Guts!ytograph,Guts!xtograph,1,1),IF(D1=2,LINEST(Guts!ytograph,Guts!xtograph^#REF!,0,1),IF(D1=3, LINEST(Guts!ytograph,Guts!xtograph^{1,2},1,1),IF(D1=4,LINEST(Guts!ytograph,Guts!xtograph^{1,2,3},1,1), IF(D1=5,LINEST(LN(Guts!ytograph),LN(Guts!xtograph),1,1),IF(D1=6,LINEST(LN(Guts!ytograph),Guts!xtograph,1,1),NA()))))))</f>
        <v>#N/A</v>
      </c>
      <c r="C11" s="6"/>
      <c r="D11" s="6"/>
      <c r="E11" s="6"/>
      <c r="F11" s="34">
        <v>9</v>
      </c>
      <c r="G11" s="46">
        <f t="shared" ca="1" si="0"/>
        <v>720</v>
      </c>
      <c r="H11" s="34" t="e">
        <f t="shared" si="1"/>
        <v>#N/A</v>
      </c>
      <c r="J11" s="34" t="e">
        <f t="shared" ca="1" si="2"/>
        <v>#N/A</v>
      </c>
      <c r="K11" s="34" t="e">
        <f ca="1">IF($D$32=1,$B$48*J11+$C$48,IF($D$32=2,$B$48*J11^2+$C$48*J11+$D$48,IF($D$32=3,$B$48*J11^3+$C$48*J11^2+$D$48*J11+$E$48,IF($D$32=4,$B$48*J11^'Double Analysis'!$G$13,IF($D$32=5,EXP($C$48)*J11^$B$48,IF($D$32=6,EXP($C$48+J11*$B$48),NA()))))))</f>
        <v>#N/A</v>
      </c>
      <c r="L11" s="34" t="e">
        <f ca="1">IF($D$32=1,$B$54*J11+$C$54,IF($D$32=2,$B$54*J11^2+$C$54*J11+$D$54,IF($D$32=3,$B$54*J11^3+$C$54*J11^2+$D$54*J11+$E$54,IF($D$32=4,$B$54*J11^'Double Analysis'!$G$13,IF($D$32=5,EXP($C$54)*J11^$B$54,IF($D$32=6,EXP($C$54+J11*$B$54),NA()))))))</f>
        <v>#N/A</v>
      </c>
      <c r="N11" s="34">
        <f t="shared" ca="1" si="3"/>
        <v>4000</v>
      </c>
      <c r="O11" s="47">
        <f t="shared" ca="1" si="4"/>
        <v>15.08</v>
      </c>
      <c r="P11" s="34" t="e">
        <f t="shared" si="5"/>
        <v>#N/A</v>
      </c>
      <c r="Q11" s="46">
        <f ca="1"/>
        <v>7000</v>
      </c>
      <c r="R11" s="46">
        <f t="shared" ca="1" si="6"/>
        <v>7000</v>
      </c>
      <c r="Y11" s="34" t="str">
        <f t="shared" si="7"/>
        <v xml:space="preserve"> </v>
      </c>
      <c r="Z11" s="34" t="e">
        <f t="shared" ca="1" si="8"/>
        <v>#N/A</v>
      </c>
      <c r="AA11" s="34" t="e">
        <f t="array" aca="1" ref="AA11" ca="1">IF(ISNUMBER(Z11),INDEX(DA_y1data,MATCH(Z11,$Y$2:$Y$102,0)),NA())</f>
        <v>#N/A</v>
      </c>
      <c r="AB11" s="34" t="e">
        <f t="shared" si="9"/>
        <v>#N/A</v>
      </c>
      <c r="AC11" s="34" t="str">
        <f t="shared" si="10"/>
        <v xml:space="preserve"> </v>
      </c>
      <c r="AD11" s="34" t="e">
        <f t="shared" ca="1" si="11"/>
        <v>#N/A</v>
      </c>
      <c r="AE11" s="34" t="e">
        <f t="array" aca="1" ref="AE11" ca="1">IF(ISNUMBER(AD11),INDEX(DA_y2data,MATCH(AD11,$AC$2:$AC$102,0)),NA())</f>
        <v>#N/A</v>
      </c>
      <c r="AF11" s="34" t="e">
        <f t="shared" si="12"/>
        <v>#N/A</v>
      </c>
      <c r="AH11" s="34" t="e">
        <f>EXP((-1)*((AK2-AH16)/AH17)^2)</f>
        <v>#N/A</v>
      </c>
      <c r="AK11" s="46">
        <f>MIN('Manual Fitting'!$A$3:$A$32)+(MAX('Manual Fitting'!$A$3:$A$32)-MIN('Manual Fitting'!$A$3:$A$17))*(Guts!F11/100)</f>
        <v>0</v>
      </c>
      <c r="AL11" s="46">
        <f t="shared" si="13"/>
        <v>0</v>
      </c>
      <c r="AP11" s="46">
        <f t="shared" si="14"/>
        <v>0</v>
      </c>
      <c r="AQ11" s="48">
        <f t="shared" si="15"/>
        <v>0</v>
      </c>
      <c r="AR11" s="48" t="e">
        <f t="shared" ca="1" si="16"/>
        <v>#N/A</v>
      </c>
    </row>
    <row r="12" spans="1:44">
      <c r="A12" s="6" t="s">
        <v>72</v>
      </c>
      <c r="B12" s="6"/>
      <c r="C12" s="6"/>
      <c r="D12" s="6"/>
      <c r="E12" s="6"/>
      <c r="F12" s="34">
        <v>10</v>
      </c>
      <c r="G12" s="46">
        <f t="shared" ca="1" si="0"/>
        <v>800</v>
      </c>
      <c r="H12" s="34" t="e">
        <f t="shared" si="1"/>
        <v>#N/A</v>
      </c>
      <c r="J12" s="34" t="e">
        <f t="shared" ca="1" si="2"/>
        <v>#N/A</v>
      </c>
      <c r="K12" s="34" t="e">
        <f ca="1">IF($D$32=1,$B$48*J12+$C$48,IF($D$32=2,$B$48*J12^2+$C$48*J12+$D$48,IF($D$32=3,$B$48*J12^3+$C$48*J12^2+$D$48*J12+$E$48,IF($D$32=4,$B$48*J12^'Double Analysis'!$G$13,IF($D$32=5,EXP($C$48)*J12^$B$48,IF($D$32=6,EXP($C$48+J12*$B$48),NA()))))))</f>
        <v>#N/A</v>
      </c>
      <c r="L12" s="34" t="e">
        <f ca="1">IF($D$32=1,$B$54*J12+$C$54,IF($D$32=2,$B$54*J12^2+$C$54*J12+$D$54,IF($D$32=3,$B$54*J12^3+$C$54*J12^2+$D$54*J12+$E$54,IF($D$32=4,$B$54*J12^'Double Analysis'!$G$13,IF($D$32=5,EXP($C$54)*J12^$B$54,IF($D$32=6,EXP($C$54+J12*$B$54),NA()))))))</f>
        <v>#N/A</v>
      </c>
      <c r="N12" s="34">
        <f t="shared" ca="1" si="3"/>
        <v>5000</v>
      </c>
      <c r="O12" s="47">
        <f t="shared" ca="1" si="4"/>
        <v>18.72</v>
      </c>
      <c r="P12" s="34" t="e">
        <f t="shared" si="5"/>
        <v>#N/A</v>
      </c>
      <c r="Q12" s="46">
        <f ca="1"/>
        <v>6000</v>
      </c>
      <c r="R12" s="46">
        <f t="shared" ca="1" si="6"/>
        <v>6000</v>
      </c>
      <c r="Y12" s="34" t="str">
        <f t="shared" si="7"/>
        <v xml:space="preserve"> </v>
      </c>
      <c r="Z12" s="34" t="e">
        <f t="shared" ca="1" si="8"/>
        <v>#N/A</v>
      </c>
      <c r="AA12" s="34" t="e">
        <f t="array" aca="1" ref="AA12" ca="1">IF(ISNUMBER(Z12),INDEX(DA_y1data,MATCH(Z12,$Y$2:$Y$102,0)),NA())</f>
        <v>#N/A</v>
      </c>
      <c r="AB12" s="34" t="e">
        <f t="shared" si="9"/>
        <v>#N/A</v>
      </c>
      <c r="AC12" s="34" t="str">
        <f t="shared" si="10"/>
        <v xml:space="preserve"> </v>
      </c>
      <c r="AD12" s="34" t="e">
        <f t="shared" ca="1" si="11"/>
        <v>#N/A</v>
      </c>
      <c r="AE12" s="34" t="e">
        <f t="array" aca="1" ref="AE12" ca="1">IF(ISNUMBER(AD12),INDEX(DA_y2data,MATCH(AD12,$AC$2:$AC$102,0)),NA())</f>
        <v>#N/A</v>
      </c>
      <c r="AF12" s="34" t="e">
        <f t="shared" si="12"/>
        <v>#N/A</v>
      </c>
      <c r="AK12" s="46">
        <f>MIN('Manual Fitting'!$A$3:$A$32)+(MAX('Manual Fitting'!$A$3:$A$32)-MIN('Manual Fitting'!$A$3:$A$17))*(Guts!F12/100)</f>
        <v>0</v>
      </c>
      <c r="AL12" s="46">
        <f t="shared" si="13"/>
        <v>0</v>
      </c>
      <c r="AP12" s="46">
        <f t="shared" si="14"/>
        <v>0</v>
      </c>
      <c r="AQ12" s="48">
        <f t="shared" si="15"/>
        <v>0</v>
      </c>
      <c r="AR12" s="48" t="e">
        <f t="shared" ca="1" si="16"/>
        <v>#N/A</v>
      </c>
    </row>
    <row r="13" spans="1:44">
      <c r="A13" s="6" t="s">
        <v>73</v>
      </c>
      <c r="B13" s="6"/>
      <c r="C13" s="6"/>
      <c r="D13" s="6"/>
      <c r="E13" s="6"/>
      <c r="F13" s="34">
        <v>11</v>
      </c>
      <c r="G13" s="46">
        <f t="shared" ca="1" si="0"/>
        <v>880</v>
      </c>
      <c r="H13" s="34" t="e">
        <f t="shared" si="1"/>
        <v>#N/A</v>
      </c>
      <c r="J13" s="34" t="e">
        <f t="shared" ca="1" si="2"/>
        <v>#N/A</v>
      </c>
      <c r="K13" s="34" t="e">
        <f ca="1">IF($D$32=1,$B$48*J13+$C$48,IF($D$32=2,$B$48*J13^2+$C$48*J13+$D$48,IF($D$32=3,$B$48*J13^3+$C$48*J13^2+$D$48*J13+$E$48,IF($D$32=4,$B$48*J13^'Double Analysis'!$G$13,IF($D$32=5,EXP($C$48)*J13^$B$48,IF($D$32=6,EXP($C$48+J13*$B$48),NA()))))))</f>
        <v>#N/A</v>
      </c>
      <c r="L13" s="34" t="e">
        <f ca="1">IF($D$32=1,$B$54*J13+$C$54,IF($D$32=2,$B$54*J13^2+$C$54*J13+$D$54,IF($D$32=3,$B$54*J13^3+$C$54*J13^2+$D$54*J13+$E$54,IF($D$32=4,$B$54*J13^'Double Analysis'!$G$13,IF($D$32=5,EXP($C$54)*J13^$B$54,IF($D$32=6,EXP($C$54+J13*$B$54),NA()))))))</f>
        <v>#N/A</v>
      </c>
      <c r="N13" s="34">
        <f t="shared" ca="1" si="3"/>
        <v>5000</v>
      </c>
      <c r="O13" s="47">
        <f t="shared" ca="1" si="4"/>
        <v>18.72</v>
      </c>
      <c r="P13" s="34" t="e">
        <f t="shared" si="5"/>
        <v>#N/A</v>
      </c>
      <c r="Q13" s="46">
        <f ca="1"/>
        <v>5000</v>
      </c>
      <c r="R13" s="46">
        <f t="shared" ca="1" si="6"/>
        <v>5000</v>
      </c>
      <c r="Y13" s="34" t="str">
        <f t="shared" si="7"/>
        <v xml:space="preserve"> </v>
      </c>
      <c r="Z13" s="34" t="e">
        <f t="shared" ca="1" si="8"/>
        <v>#N/A</v>
      </c>
      <c r="AA13" s="34" t="e">
        <f t="array" aca="1" ref="AA13" ca="1">IF(ISNUMBER(Z13),INDEX(DA_y1data,MATCH(Z13,$Y$2:$Y$102,0)),NA())</f>
        <v>#N/A</v>
      </c>
      <c r="AB13" s="34" t="e">
        <f t="shared" si="9"/>
        <v>#N/A</v>
      </c>
      <c r="AC13" s="34" t="str">
        <f t="shared" si="10"/>
        <v xml:space="preserve"> </v>
      </c>
      <c r="AD13" s="34" t="e">
        <f t="shared" ca="1" si="11"/>
        <v>#N/A</v>
      </c>
      <c r="AE13" s="34" t="e">
        <f t="array" aca="1" ref="AE13" ca="1">IF(ISNUMBER(AD13),INDEX(DA_y2data,MATCH(AD13,$AC$2:$AC$102,0)),NA())</f>
        <v>#N/A</v>
      </c>
      <c r="AF13" s="34" t="e">
        <f t="shared" si="12"/>
        <v>#N/A</v>
      </c>
      <c r="AK13" s="46">
        <f>MIN('Manual Fitting'!$A$3:$A$32)+(MAX('Manual Fitting'!$A$3:$A$32)-MIN('Manual Fitting'!$A$3:$A$17))*(Guts!F13/100)</f>
        <v>0</v>
      </c>
      <c r="AL13" s="46">
        <f t="shared" si="13"/>
        <v>0</v>
      </c>
      <c r="AP13" s="46">
        <f t="shared" si="14"/>
        <v>0</v>
      </c>
      <c r="AQ13" s="48">
        <f t="shared" si="15"/>
        <v>0</v>
      </c>
      <c r="AR13" s="48" t="e">
        <f t="shared" ca="1" si="16"/>
        <v>#N/A</v>
      </c>
    </row>
    <row r="14" spans="1:44">
      <c r="A14" s="6"/>
      <c r="B14" s="6"/>
      <c r="C14" s="6"/>
      <c r="D14" s="6"/>
      <c r="E14" s="6"/>
      <c r="F14" s="34">
        <v>12</v>
      </c>
      <c r="G14" s="46">
        <f t="shared" ca="1" si="0"/>
        <v>960</v>
      </c>
      <c r="H14" s="34" t="e">
        <f t="shared" si="1"/>
        <v>#N/A</v>
      </c>
      <c r="J14" s="34" t="e">
        <f t="shared" ca="1" si="2"/>
        <v>#N/A</v>
      </c>
      <c r="K14" s="34" t="e">
        <f ca="1">IF($D$32=1,$B$48*J14+$C$48,IF($D$32=2,$B$48*J14^2+$C$48*J14+$D$48,IF($D$32=3,$B$48*J14^3+$C$48*J14^2+$D$48*J14+$E$48,IF($D$32=4,$B$48*J14^'Double Analysis'!$G$13,IF($D$32=5,EXP($C$48)*J14^$B$48,IF($D$32=6,EXP($C$48+J14*$B$48),NA()))))))</f>
        <v>#N/A</v>
      </c>
      <c r="L14" s="34" t="e">
        <f ca="1">IF($D$32=1,$B$54*J14+$C$54,IF($D$32=2,$B$54*J14^2+$C$54*J14+$D$54,IF($D$32=3,$B$54*J14^3+$C$54*J14^2+$D$54*J14+$E$54,IF($D$32=4,$B$54*J14^'Double Analysis'!$G$13,IF($D$32=5,EXP($C$54)*J14^$B$54,IF($D$32=6,EXP($C$54+J14*$B$54),NA()))))))</f>
        <v>#N/A</v>
      </c>
      <c r="N14" s="34">
        <f t="shared" ca="1" si="3"/>
        <v>6000</v>
      </c>
      <c r="O14" s="47">
        <f t="shared" ca="1" si="4"/>
        <v>22.36</v>
      </c>
      <c r="P14" s="34" t="e">
        <f t="shared" si="5"/>
        <v>#N/A</v>
      </c>
      <c r="Q14" s="46">
        <f ca="1"/>
        <v>4000</v>
      </c>
      <c r="R14" s="46">
        <f t="shared" ca="1" si="6"/>
        <v>4000</v>
      </c>
      <c r="Y14" s="34" t="str">
        <f t="shared" si="7"/>
        <v xml:space="preserve"> </v>
      </c>
      <c r="Z14" s="34" t="e">
        <f t="shared" ca="1" si="8"/>
        <v>#N/A</v>
      </c>
      <c r="AA14" s="34" t="e">
        <f t="array" aca="1" ref="AA14" ca="1">IF(ISNUMBER(Z14),INDEX(DA_y1data,MATCH(Z14,$Y$2:$Y$102,0)),NA())</f>
        <v>#N/A</v>
      </c>
      <c r="AB14" s="34" t="e">
        <f t="shared" si="9"/>
        <v>#N/A</v>
      </c>
      <c r="AC14" s="34" t="str">
        <f t="shared" si="10"/>
        <v xml:space="preserve"> </v>
      </c>
      <c r="AD14" s="34" t="e">
        <f t="shared" ca="1" si="11"/>
        <v>#N/A</v>
      </c>
      <c r="AE14" s="34" t="e">
        <f t="array" aca="1" ref="AE14" ca="1">IF(ISNUMBER(AD14),INDEX(DA_y2data,MATCH(AD14,$AC$2:$AC$102,0)),NA())</f>
        <v>#N/A</v>
      </c>
      <c r="AF14" s="34" t="e">
        <f t="shared" si="12"/>
        <v>#N/A</v>
      </c>
      <c r="AH14" s="34" t="s">
        <v>74</v>
      </c>
      <c r="AI14" s="34" t="s">
        <v>75</v>
      </c>
      <c r="AK14" s="46">
        <f>MIN('Manual Fitting'!$A$3:$A$32)+(MAX('Manual Fitting'!$A$3:$A$32)-MIN('Manual Fitting'!$A$3:$A$17))*(Guts!F14/100)</f>
        <v>0</v>
      </c>
      <c r="AL14" s="46">
        <f t="shared" si="13"/>
        <v>0</v>
      </c>
      <c r="AP14" s="46">
        <f t="shared" si="14"/>
        <v>0</v>
      </c>
      <c r="AQ14" s="48">
        <f t="shared" si="15"/>
        <v>0</v>
      </c>
      <c r="AR14" s="48" t="e">
        <f t="shared" ca="1" si="16"/>
        <v>#N/A</v>
      </c>
    </row>
    <row r="15" spans="1:44">
      <c r="A15" s="6"/>
      <c r="B15" s="6"/>
      <c r="C15" s="6"/>
      <c r="D15" s="6"/>
      <c r="E15" s="6"/>
      <c r="F15" s="34">
        <v>13</v>
      </c>
      <c r="G15" s="46">
        <f t="shared" ca="1" si="0"/>
        <v>1040</v>
      </c>
      <c r="H15" s="34" t="e">
        <f t="shared" si="1"/>
        <v>#N/A</v>
      </c>
      <c r="J15" s="34" t="e">
        <f t="shared" ca="1" si="2"/>
        <v>#N/A</v>
      </c>
      <c r="K15" s="34" t="e">
        <f ca="1">IF($D$32=1,$B$48*J15+$C$48,IF($D$32=2,$B$48*J15^2+$C$48*J15+$D$48,IF($D$32=3,$B$48*J15^3+$C$48*J15^2+$D$48*J15+$E$48,IF($D$32=4,$B$48*J15^'Double Analysis'!$G$13,IF($D$32=5,EXP($C$48)*J15^$B$48,IF($D$32=6,EXP($C$48+J15*$B$48),NA()))))))</f>
        <v>#N/A</v>
      </c>
      <c r="L15" s="34" t="e">
        <f ca="1">IF($D$32=1,$B$54*J15+$C$54,IF($D$32=2,$B$54*J15^2+$C$54*J15+$D$54,IF($D$32=3,$B$54*J15^3+$C$54*J15^2+$D$54*J15+$E$54,IF($D$32=4,$B$54*J15^'Double Analysis'!$G$13,IF($D$32=5,EXP($C$54)*J15^$B$54,IF($D$32=6,EXP($C$54+J15*$B$54),NA()))))))</f>
        <v>#N/A</v>
      </c>
      <c r="N15" s="34">
        <f t="shared" ca="1" si="3"/>
        <v>6000</v>
      </c>
      <c r="O15" s="47">
        <f t="shared" ca="1" si="4"/>
        <v>22.36</v>
      </c>
      <c r="P15" s="34" t="e">
        <f t="shared" si="5"/>
        <v>#N/A</v>
      </c>
      <c r="Q15" s="46">
        <f ca="1"/>
        <v>3000</v>
      </c>
      <c r="R15" s="46">
        <f t="shared" ca="1" si="6"/>
        <v>3000</v>
      </c>
      <c r="Y15" s="34" t="str">
        <f t="shared" si="7"/>
        <v xml:space="preserve"> </v>
      </c>
      <c r="Z15" s="34" t="e">
        <f t="shared" ca="1" si="8"/>
        <v>#N/A</v>
      </c>
      <c r="AA15" s="34" t="e">
        <f t="array" aca="1" ref="AA15" ca="1">IF(ISNUMBER(Z15),INDEX(DA_y1data,MATCH(Z15,$Y$2:$Y$102,0)),NA())</f>
        <v>#N/A</v>
      </c>
      <c r="AB15" s="34" t="e">
        <f t="shared" si="9"/>
        <v>#N/A</v>
      </c>
      <c r="AC15" s="34" t="str">
        <f t="shared" si="10"/>
        <v xml:space="preserve"> </v>
      </c>
      <c r="AD15" s="34" t="e">
        <f t="shared" ca="1" si="11"/>
        <v>#N/A</v>
      </c>
      <c r="AE15" s="34" t="e">
        <f t="array" aca="1" ref="AE15" ca="1">IF(ISNUMBER(AD15),INDEX(DA_y2data,MATCH(AD15,$AC$2:$AC$102,0)),NA())</f>
        <v>#N/A</v>
      </c>
      <c r="AF15" s="34" t="e">
        <f t="shared" si="12"/>
        <v>#N/A</v>
      </c>
      <c r="AH15" s="46">
        <f>IF(ISNUMBER('Manual Fitting'!H28),'Manual Fitting'!H28,NA())</f>
        <v>0</v>
      </c>
      <c r="AI15" s="34">
        <v>6264.7982188697069</v>
      </c>
      <c r="AK15" s="46">
        <f>MIN('Manual Fitting'!$A$3:$A$32)+(MAX('Manual Fitting'!$A$3:$A$32)-MIN('Manual Fitting'!$A$3:$A$17))*(Guts!F15/100)</f>
        <v>0</v>
      </c>
      <c r="AL15" s="46">
        <f t="shared" si="13"/>
        <v>0</v>
      </c>
      <c r="AP15" s="46">
        <f t="shared" si="14"/>
        <v>0</v>
      </c>
      <c r="AQ15" s="48">
        <f t="shared" si="15"/>
        <v>0</v>
      </c>
      <c r="AR15" s="48" t="e">
        <f t="shared" ca="1" si="16"/>
        <v>#N/A</v>
      </c>
    </row>
    <row r="16" spans="1:44">
      <c r="A16" s="6"/>
      <c r="B16" s="6"/>
      <c r="C16" s="6"/>
      <c r="D16" s="6"/>
      <c r="E16" s="6"/>
      <c r="F16" s="34">
        <v>14</v>
      </c>
      <c r="G16" s="46">
        <f t="shared" ca="1" si="0"/>
        <v>1120</v>
      </c>
      <c r="H16" s="34" t="e">
        <f t="shared" si="1"/>
        <v>#N/A</v>
      </c>
      <c r="J16" s="34" t="e">
        <f t="shared" ca="1" si="2"/>
        <v>#N/A</v>
      </c>
      <c r="K16" s="34" t="e">
        <f ca="1">IF($D$32=1,$B$48*J16+$C$48,IF($D$32=2,$B$48*J16^2+$C$48*J16+$D$48,IF($D$32=3,$B$48*J16^3+$C$48*J16^2+$D$48*J16+$E$48,IF($D$32=4,$B$48*J16^'Double Analysis'!$G$13,IF($D$32=5,EXP($C$48)*J16^$B$48,IF($D$32=6,EXP($C$48+J16*$B$48),NA()))))))</f>
        <v>#N/A</v>
      </c>
      <c r="L16" s="34" t="e">
        <f ca="1">IF($D$32=1,$B$54*J16+$C$54,IF($D$32=2,$B$54*J16^2+$C$54*J16+$D$54,IF($D$32=3,$B$54*J16^3+$C$54*J16^2+$D$54*J16+$E$54,IF($D$32=4,$B$54*J16^'Double Analysis'!$G$13,IF($D$32=5,EXP($C$54)*J16^$B$54,IF($D$32=6,EXP($C$54+J16*$B$54),NA()))))))</f>
        <v>#N/A</v>
      </c>
      <c r="N16" s="34">
        <f t="shared" ca="1" si="3"/>
        <v>7000</v>
      </c>
      <c r="O16" s="47">
        <f t="shared" ca="1" si="4"/>
        <v>26.12</v>
      </c>
      <c r="P16" s="34" t="e">
        <f t="shared" si="5"/>
        <v>#N/A</v>
      </c>
      <c r="Q16" s="46">
        <f ca="1"/>
        <v>2000</v>
      </c>
      <c r="R16" s="46">
        <f t="shared" ca="1" si="6"/>
        <v>2000</v>
      </c>
      <c r="Y16" s="34" t="str">
        <f t="shared" si="7"/>
        <v xml:space="preserve"> </v>
      </c>
      <c r="Z16" s="34" t="e">
        <f t="shared" ca="1" si="8"/>
        <v>#N/A</v>
      </c>
      <c r="AA16" s="34" t="e">
        <f t="array" aca="1" ref="AA16" ca="1">IF(ISNUMBER(Z16),INDEX(DA_y1data,MATCH(Z16,$Y$2:$Y$102,0)),NA())</f>
        <v>#N/A</v>
      </c>
      <c r="AB16" s="34" t="e">
        <f t="shared" si="9"/>
        <v>#N/A</v>
      </c>
      <c r="AC16" s="34" t="str">
        <f t="shared" si="10"/>
        <v xml:space="preserve"> </v>
      </c>
      <c r="AD16" s="34" t="e">
        <f t="shared" ca="1" si="11"/>
        <v>#N/A</v>
      </c>
      <c r="AE16" s="34" t="e">
        <f t="array" aca="1" ref="AE16" ca="1">IF(ISNUMBER(AD16),INDEX(DA_y2data,MATCH(AD16,$AC$2:$AC$102,0)),NA())</f>
        <v>#N/A</v>
      </c>
      <c r="AF16" s="34" t="e">
        <f t="shared" si="12"/>
        <v>#N/A</v>
      </c>
      <c r="AH16" s="46">
        <f>IF(ISNUMBER('Manual Fitting'!H29),'Manual Fitting'!H29,NA())</f>
        <v>0.04</v>
      </c>
      <c r="AI16" s="34">
        <v>10.46591907532461</v>
      </c>
      <c r="AK16" s="46">
        <f>MIN('Manual Fitting'!$A$3:$A$32)+(MAX('Manual Fitting'!$A$3:$A$32)-MIN('Manual Fitting'!$A$3:$A$17))*(Guts!F16/100)</f>
        <v>0</v>
      </c>
      <c r="AL16" s="46">
        <f t="shared" si="13"/>
        <v>0</v>
      </c>
      <c r="AP16" s="46">
        <f t="shared" si="14"/>
        <v>0</v>
      </c>
      <c r="AQ16" s="48">
        <f t="shared" si="15"/>
        <v>0</v>
      </c>
      <c r="AR16" s="48" t="e">
        <f t="shared" ca="1" si="16"/>
        <v>#N/A</v>
      </c>
    </row>
    <row r="17" spans="1:44">
      <c r="A17" s="6"/>
      <c r="B17" s="6"/>
      <c r="C17" s="6"/>
      <c r="D17" s="6"/>
      <c r="E17" s="6"/>
      <c r="F17" s="34">
        <v>15</v>
      </c>
      <c r="G17" s="46">
        <f t="shared" ca="1" si="0"/>
        <v>1200</v>
      </c>
      <c r="H17" s="34" t="e">
        <f t="shared" si="1"/>
        <v>#N/A</v>
      </c>
      <c r="J17" s="34" t="e">
        <f t="shared" ca="1" si="2"/>
        <v>#N/A</v>
      </c>
      <c r="K17" s="34" t="e">
        <f ca="1">IF($D$32=1,$B$48*J17+$C$48,IF($D$32=2,$B$48*J17^2+$C$48*J17+$D$48,IF($D$32=3,$B$48*J17^3+$C$48*J17^2+$D$48*J17+$E$48,IF($D$32=4,$B$48*J17^'Double Analysis'!$G$13,IF($D$32=5,EXP($C$48)*J17^$B$48,IF($D$32=6,EXP($C$48+J17*$B$48),NA()))))))</f>
        <v>#N/A</v>
      </c>
      <c r="L17" s="34" t="e">
        <f ca="1">IF($D$32=1,$B$54*J17+$C$54,IF($D$32=2,$B$54*J17^2+$C$54*J17+$D$54,IF($D$32=3,$B$54*J17^3+$C$54*J17^2+$D$54*J17+$E$54,IF($D$32=4,$B$54*J17^'Double Analysis'!$G$13,IF($D$32=5,EXP($C$54)*J17^$B$54,IF($D$32=6,EXP($C$54+J17*$B$54),NA()))))))</f>
        <v>#N/A</v>
      </c>
      <c r="N17" s="34">
        <f t="shared" ca="1" si="3"/>
        <v>7000</v>
      </c>
      <c r="O17" s="47">
        <f t="shared" ca="1" si="4"/>
        <v>26.12</v>
      </c>
      <c r="P17" s="34" t="e">
        <f t="shared" si="5"/>
        <v>#N/A</v>
      </c>
      <c r="Q17" s="46">
        <f ca="1"/>
        <v>1000</v>
      </c>
      <c r="R17" s="46">
        <f t="shared" ca="1" si="6"/>
        <v>1000</v>
      </c>
      <c r="Y17" s="34" t="str">
        <f t="shared" si="7"/>
        <v xml:space="preserve"> </v>
      </c>
      <c r="Z17" s="34" t="e">
        <f t="shared" ca="1" si="8"/>
        <v>#N/A</v>
      </c>
      <c r="AA17" s="34" t="e">
        <f t="array" aca="1" ref="AA17" ca="1">IF(ISNUMBER(Z17),INDEX(DA_y1data,MATCH(Z17,$Y$2:$Y$102,0)),NA())</f>
        <v>#N/A</v>
      </c>
      <c r="AB17" s="34" t="e">
        <f t="shared" si="9"/>
        <v>#N/A</v>
      </c>
      <c r="AC17" s="34" t="str">
        <f t="shared" si="10"/>
        <v xml:space="preserve"> </v>
      </c>
      <c r="AD17" s="34" t="e">
        <f t="shared" ca="1" si="11"/>
        <v>#N/A</v>
      </c>
      <c r="AE17" s="34" t="e">
        <f t="array" aca="1" ref="AE17" ca="1">IF(ISNUMBER(AD17),INDEX(DA_y2data,MATCH(AD17,$AC$2:$AC$102,0)),NA())</f>
        <v>#N/A</v>
      </c>
      <c r="AF17" s="34" t="e">
        <f t="shared" si="12"/>
        <v>#N/A</v>
      </c>
      <c r="AH17" s="34" t="e">
        <f>IF(ISNUMBER('Manual Fitting'!H30),'Manual Fitting'!H30,NA())</f>
        <v>#N/A</v>
      </c>
      <c r="AI17" s="34">
        <v>0.38202464348791532</v>
      </c>
      <c r="AK17" s="46">
        <f>MIN('Manual Fitting'!$A$3:$A$32)+(MAX('Manual Fitting'!$A$3:$A$32)-MIN('Manual Fitting'!$A$3:$A$17))*(Guts!F17/100)</f>
        <v>0</v>
      </c>
      <c r="AL17" s="46">
        <f t="shared" si="13"/>
        <v>0</v>
      </c>
      <c r="AP17" s="46">
        <f t="shared" si="14"/>
        <v>0</v>
      </c>
      <c r="AQ17" s="48">
        <f t="shared" si="15"/>
        <v>0</v>
      </c>
      <c r="AR17" s="48" t="e">
        <f t="shared" ca="1" si="16"/>
        <v>#N/A</v>
      </c>
    </row>
    <row r="18" spans="1:44">
      <c r="A18" s="6"/>
      <c r="B18" s="6"/>
      <c r="C18" s="6"/>
      <c r="D18" s="6"/>
      <c r="E18" s="6"/>
      <c r="F18" s="34">
        <v>16</v>
      </c>
      <c r="G18" s="46">
        <f t="shared" ca="1" si="0"/>
        <v>1280</v>
      </c>
      <c r="H18" s="34" t="e">
        <f t="shared" si="1"/>
        <v>#N/A</v>
      </c>
      <c r="J18" s="34" t="e">
        <f t="shared" ca="1" si="2"/>
        <v>#N/A</v>
      </c>
      <c r="K18" s="34" t="e">
        <f ca="1">IF($D$32=1,$B$48*J18+$C$48,IF($D$32=2,$B$48*J18^2+$C$48*J18+$D$48,IF($D$32=3,$B$48*J18^3+$C$48*J18^2+$D$48*J18+$E$48,IF($D$32=4,$B$48*J18^'Double Analysis'!$G$13,IF($D$32=5,EXP($C$48)*J18^$B$48,IF($D$32=6,EXP($C$48+J18*$B$48),NA()))))))</f>
        <v>#N/A</v>
      </c>
      <c r="L18" s="34" t="e">
        <f ca="1">IF($D$32=1,$B$54*J18+$C$54,IF($D$32=2,$B$54*J18^2+$C$54*J18+$D$54,IF($D$32=3,$B$54*J18^3+$C$54*J18^2+$D$54*J18+$E$54,IF($D$32=4,$B$54*J18^'Double Analysis'!$G$13,IF($D$32=5,EXP($C$54)*J18^$B$54,IF($D$32=6,EXP($C$54+J18*$B$54),NA()))))))</f>
        <v>#N/A</v>
      </c>
      <c r="N18" s="34">
        <f t="shared" ca="1" si="3"/>
        <v>8000</v>
      </c>
      <c r="O18" s="47">
        <f t="shared" ca="1" si="4"/>
        <v>30.01</v>
      </c>
      <c r="P18" s="34" t="e">
        <f t="shared" si="5"/>
        <v>#N/A</v>
      </c>
      <c r="Q18" s="46">
        <f ca="1"/>
        <v>0</v>
      </c>
      <c r="R18" s="46">
        <f t="shared" ca="1" si="6"/>
        <v>0</v>
      </c>
      <c r="Y18" s="34" t="str">
        <f t="shared" si="7"/>
        <v xml:space="preserve"> </v>
      </c>
      <c r="Z18" s="34" t="e">
        <f t="shared" ca="1" si="8"/>
        <v>#N/A</v>
      </c>
      <c r="AA18" s="34" t="e">
        <f t="array" aca="1" ref="AA18" ca="1">IF(ISNUMBER(Z18),INDEX(DA_y1data,MATCH(Z18,$Y$2:$Y$102,0)),NA())</f>
        <v>#N/A</v>
      </c>
      <c r="AB18" s="34" t="e">
        <f t="shared" si="9"/>
        <v>#N/A</v>
      </c>
      <c r="AC18" s="34" t="str">
        <f t="shared" si="10"/>
        <v xml:space="preserve"> </v>
      </c>
      <c r="AD18" s="34" t="e">
        <f t="shared" ca="1" si="11"/>
        <v>#N/A</v>
      </c>
      <c r="AE18" s="34" t="e">
        <f t="array" aca="1" ref="AE18" ca="1">IF(ISNUMBER(AD18),INDEX(DA_y2data,MATCH(AD18,$AC$2:$AC$102,0)),NA())</f>
        <v>#N/A</v>
      </c>
      <c r="AF18" s="34" t="e">
        <f t="shared" si="12"/>
        <v>#N/A</v>
      </c>
      <c r="AH18" s="34" t="e">
        <f>IF(ISNUMBER('Manual Fitting'!H31),'Manual Fitting'!H31,NA())</f>
        <v>#N/A</v>
      </c>
      <c r="AI18" s="34" t="e">
        <f>AH18</f>
        <v>#N/A</v>
      </c>
      <c r="AK18" s="46">
        <f>MIN('Manual Fitting'!$A$3:$A$32)+(MAX('Manual Fitting'!$A$3:$A$32)-MIN('Manual Fitting'!$A$3:$A$17))*(Guts!F18/100)</f>
        <v>0</v>
      </c>
      <c r="AL18" s="46">
        <f t="shared" si="13"/>
        <v>0</v>
      </c>
      <c r="AP18" s="46">
        <f t="shared" si="14"/>
        <v>0</v>
      </c>
      <c r="AQ18" s="48">
        <f t="shared" si="15"/>
        <v>0</v>
      </c>
      <c r="AR18" s="48" t="e">
        <f t="shared" ca="1" si="16"/>
        <v>#N/A</v>
      </c>
    </row>
    <row r="19" spans="1:44">
      <c r="A19" s="6"/>
      <c r="B19" s="6"/>
      <c r="C19" s="6"/>
      <c r="D19" s="6"/>
      <c r="E19" s="6"/>
      <c r="F19" s="34">
        <v>17</v>
      </c>
      <c r="G19" s="46">
        <f t="shared" ca="1" si="0"/>
        <v>1360</v>
      </c>
      <c r="H19" s="34" t="e">
        <f t="shared" si="1"/>
        <v>#N/A</v>
      </c>
      <c r="J19" s="34" t="e">
        <f t="shared" ca="1" si="2"/>
        <v>#N/A</v>
      </c>
      <c r="K19" s="34" t="e">
        <f ca="1">IF($D$32=1,$B$48*J19+$C$48,IF($D$32=2,$B$48*J19^2+$C$48*J19+$D$48,IF($D$32=3,$B$48*J19^3+$C$48*J19^2+$D$48*J19+$E$48,IF($D$32=4,$B$48*J19^'Double Analysis'!$G$13,IF($D$32=5,EXP($C$48)*J19^$B$48,IF($D$32=6,EXP($C$48+J19*$B$48),NA()))))))</f>
        <v>#N/A</v>
      </c>
      <c r="L19" s="34" t="e">
        <f ca="1">IF($D$32=1,$B$54*J19+$C$54,IF($D$32=2,$B$54*J19^2+$C$54*J19+$D$54,IF($D$32=3,$B$54*J19^3+$C$54*J19^2+$D$54*J19+$E$54,IF($D$32=4,$B$54*J19^'Double Analysis'!$G$13,IF($D$32=5,EXP($C$54)*J19^$B$54,IF($D$32=6,EXP($C$54+J19*$B$54),NA()))))))</f>
        <v>#N/A</v>
      </c>
      <c r="N19" s="34" t="e">
        <f t="shared" ca="1" si="3"/>
        <v>#N/A</v>
      </c>
      <c r="O19" s="34" t="e">
        <f t="shared" ca="1" si="4"/>
        <v>#N/A</v>
      </c>
      <c r="P19" s="34" t="e">
        <f t="shared" si="5"/>
        <v>#N/A</v>
      </c>
      <c r="R19" s="34" t="str">
        <f t="shared" si="6"/>
        <v/>
      </c>
      <c r="Y19" s="34" t="str">
        <f t="shared" si="7"/>
        <v xml:space="preserve"> </v>
      </c>
      <c r="Z19" s="34" t="e">
        <f t="shared" ca="1" si="8"/>
        <v>#N/A</v>
      </c>
      <c r="AA19" s="34" t="e">
        <f t="array" aca="1" ref="AA19" ca="1">IF(ISNUMBER(Z19),INDEX(DA_y1data,MATCH(Z19,$Y$2:$Y$102,0)),NA())</f>
        <v>#N/A</v>
      </c>
      <c r="AB19" s="34" t="e">
        <f t="shared" si="9"/>
        <v>#N/A</v>
      </c>
      <c r="AC19" s="34" t="str">
        <f t="shared" si="10"/>
        <v xml:space="preserve"> </v>
      </c>
      <c r="AD19" s="34" t="e">
        <f t="shared" ca="1" si="11"/>
        <v>#N/A</v>
      </c>
      <c r="AE19" s="34" t="e">
        <f t="array" aca="1" ref="AE19" ca="1">IF(ISNUMBER(AD19),INDEX(DA_y2data,MATCH(AD19,$AC$2:$AC$102,0)),NA())</f>
        <v>#N/A</v>
      </c>
      <c r="AF19" s="34" t="e">
        <f t="shared" si="12"/>
        <v>#N/A</v>
      </c>
      <c r="AK19" s="46">
        <f>MIN('Manual Fitting'!$A$3:$A$32)+(MAX('Manual Fitting'!$A$3:$A$32)-MIN('Manual Fitting'!$A$3:$A$17))*(Guts!F19/100)</f>
        <v>0</v>
      </c>
      <c r="AL19" s="46">
        <f t="shared" si="13"/>
        <v>0</v>
      </c>
      <c r="AP19" s="46">
        <f t="shared" si="14"/>
        <v>0</v>
      </c>
      <c r="AQ19" s="48">
        <f t="shared" si="15"/>
        <v>0</v>
      </c>
      <c r="AR19" s="48" t="e">
        <f t="shared" ca="1" si="16"/>
        <v>#N/A</v>
      </c>
    </row>
    <row r="20" spans="1:44">
      <c r="A20" s="6"/>
      <c r="B20" s="6"/>
      <c r="C20" s="6"/>
      <c r="D20" s="6"/>
      <c r="E20" s="6"/>
      <c r="F20" s="34">
        <v>18</v>
      </c>
      <c r="G20" s="46">
        <f t="shared" ca="1" si="0"/>
        <v>1440</v>
      </c>
      <c r="H20" s="34" t="e">
        <f t="shared" si="1"/>
        <v>#N/A</v>
      </c>
      <c r="J20" s="34" t="e">
        <f t="shared" ca="1" si="2"/>
        <v>#N/A</v>
      </c>
      <c r="K20" s="34" t="e">
        <f ca="1">IF($D$32=1,$B$48*J20+$C$48,IF($D$32=2,$B$48*J20^2+$C$48*J20+$D$48,IF($D$32=3,$B$48*J20^3+$C$48*J20^2+$D$48*J20+$E$48,IF($D$32=4,$B$48*J20^'Double Analysis'!$G$13,IF($D$32=5,EXP($C$48)*J20^$B$48,IF($D$32=6,EXP($C$48+J20*$B$48),NA()))))))</f>
        <v>#N/A</v>
      </c>
      <c r="L20" s="34" t="e">
        <f ca="1">IF($D$32=1,$B$54*J20+$C$54,IF($D$32=2,$B$54*J20^2+$C$54*J20+$D$54,IF($D$32=3,$B$54*J20^3+$C$54*J20^2+$D$54*J20+$E$54,IF($D$32=4,$B$54*J20^'Double Analysis'!$G$13,IF($D$32=5,EXP($C$54)*J20^$B$54,IF($D$32=6,EXP($C$54+J20*$B$54),NA()))))))</f>
        <v>#N/A</v>
      </c>
      <c r="N20" s="34" t="e">
        <f t="shared" ca="1" si="3"/>
        <v>#N/A</v>
      </c>
      <c r="O20" s="34" t="e">
        <f t="shared" ca="1" si="4"/>
        <v>#N/A</v>
      </c>
      <c r="P20" s="34" t="e">
        <f t="shared" si="5"/>
        <v>#N/A</v>
      </c>
      <c r="R20" s="34" t="str">
        <f t="shared" si="6"/>
        <v/>
      </c>
      <c r="Y20" s="34" t="str">
        <f t="shared" si="7"/>
        <v xml:space="preserve"> </v>
      </c>
      <c r="Z20" s="34" t="e">
        <f t="shared" ca="1" si="8"/>
        <v>#N/A</v>
      </c>
      <c r="AA20" s="34" t="e">
        <f t="array" aca="1" ref="AA20" ca="1">IF(ISNUMBER(Z20),INDEX(DA_y1data,MATCH(Z20,$Y$2:$Y$102,0)),NA())</f>
        <v>#N/A</v>
      </c>
      <c r="AB20" s="34" t="e">
        <f t="shared" si="9"/>
        <v>#N/A</v>
      </c>
      <c r="AC20" s="34" t="str">
        <f t="shared" si="10"/>
        <v xml:space="preserve"> </v>
      </c>
      <c r="AD20" s="34" t="e">
        <f t="shared" ca="1" si="11"/>
        <v>#N/A</v>
      </c>
      <c r="AE20" s="34" t="e">
        <f t="array" aca="1" ref="AE20" ca="1">IF(ISNUMBER(AD20),INDEX(DA_y2data,MATCH(AD20,$AC$2:$AC$102,0)),NA())</f>
        <v>#N/A</v>
      </c>
      <c r="AF20" s="34" t="e">
        <f t="shared" si="12"/>
        <v>#N/A</v>
      </c>
      <c r="AK20" s="46">
        <f>MIN('Manual Fitting'!$A$3:$A$32)+(MAX('Manual Fitting'!$A$3:$A$32)-MIN('Manual Fitting'!$A$3:$A$17))*(Guts!F20/100)</f>
        <v>0</v>
      </c>
      <c r="AL20" s="46">
        <f t="shared" si="13"/>
        <v>0</v>
      </c>
      <c r="AP20" s="46">
        <f t="shared" si="14"/>
        <v>0</v>
      </c>
      <c r="AQ20" s="48">
        <f t="shared" si="15"/>
        <v>0</v>
      </c>
      <c r="AR20" s="48" t="e">
        <f t="shared" ca="1" si="16"/>
        <v>#N/A</v>
      </c>
    </row>
    <row r="21" spans="1:44">
      <c r="A21" s="6"/>
      <c r="B21" s="6"/>
      <c r="C21" s="6" t="s">
        <v>76</v>
      </c>
      <c r="D21" s="6"/>
      <c r="E21" s="6"/>
      <c r="F21" s="34">
        <v>19</v>
      </c>
      <c r="G21" s="46">
        <f t="shared" ca="1" si="0"/>
        <v>1520</v>
      </c>
      <c r="H21" s="34" t="e">
        <f t="shared" si="1"/>
        <v>#N/A</v>
      </c>
      <c r="J21" s="34" t="e">
        <f t="shared" ca="1" si="2"/>
        <v>#N/A</v>
      </c>
      <c r="K21" s="34" t="e">
        <f ca="1">IF($D$32=1,$B$48*J21+$C$48,IF($D$32=2,$B$48*J21^2+$C$48*J21+$D$48,IF($D$32=3,$B$48*J21^3+$C$48*J21^2+$D$48*J21+$E$48,IF($D$32=4,$B$48*J21^'Double Analysis'!$G$13,IF($D$32=5,EXP($C$48)*J21^$B$48,IF($D$32=6,EXP($C$48+J21*$B$48),NA()))))))</f>
        <v>#N/A</v>
      </c>
      <c r="L21" s="34" t="e">
        <f ca="1">IF($D$32=1,$B$54*J21+$C$54,IF($D$32=2,$B$54*J21^2+$C$54*J21+$D$54,IF($D$32=3,$B$54*J21^3+$C$54*J21^2+$D$54*J21+$E$54,IF($D$32=4,$B$54*J21^'Double Analysis'!$G$13,IF($D$32=5,EXP($C$54)*J21^$B$54,IF($D$32=6,EXP($C$54+J21*$B$54),NA()))))))</f>
        <v>#N/A</v>
      </c>
      <c r="N21" s="34" t="e">
        <f t="shared" ca="1" si="3"/>
        <v>#N/A</v>
      </c>
      <c r="O21" s="34" t="e">
        <f t="shared" ca="1" si="4"/>
        <v>#N/A</v>
      </c>
      <c r="P21" s="34" t="e">
        <f t="shared" si="5"/>
        <v>#N/A</v>
      </c>
      <c r="R21" s="34" t="str">
        <f t="shared" si="6"/>
        <v/>
      </c>
      <c r="Y21" s="34" t="str">
        <f t="shared" si="7"/>
        <v xml:space="preserve"> </v>
      </c>
      <c r="Z21" s="34" t="e">
        <f t="shared" ca="1" si="8"/>
        <v>#N/A</v>
      </c>
      <c r="AA21" s="34" t="e">
        <f t="array" aca="1" ref="AA21" ca="1">IF(ISNUMBER(Z21),INDEX(DA_y1data,MATCH(Z21,$Y$2:$Y$102,0)),NA())</f>
        <v>#N/A</v>
      </c>
      <c r="AB21" s="34" t="e">
        <f t="shared" si="9"/>
        <v>#N/A</v>
      </c>
      <c r="AC21" s="34" t="str">
        <f t="shared" si="10"/>
        <v xml:space="preserve"> </v>
      </c>
      <c r="AD21" s="34" t="e">
        <f t="shared" ca="1" si="11"/>
        <v>#N/A</v>
      </c>
      <c r="AE21" s="34" t="e">
        <f t="array" aca="1" ref="AE21" ca="1">IF(ISNUMBER(AD21),INDEX(DA_y2data,MATCH(AD21,$AC$2:$AC$102,0)),NA())</f>
        <v>#N/A</v>
      </c>
      <c r="AF21" s="34" t="e">
        <f t="shared" si="12"/>
        <v>#N/A</v>
      </c>
      <c r="AH21" s="50"/>
      <c r="AK21" s="46">
        <f>MIN('Manual Fitting'!$A$3:$A$32)+(MAX('Manual Fitting'!$A$3:$A$32)-MIN('Manual Fitting'!$A$3:$A$17))*(Guts!F21/100)</f>
        <v>0</v>
      </c>
      <c r="AL21" s="46">
        <f t="shared" si="13"/>
        <v>0</v>
      </c>
      <c r="AP21" s="46">
        <f t="shared" si="14"/>
        <v>0</v>
      </c>
      <c r="AQ21" s="48">
        <f t="shared" si="15"/>
        <v>0</v>
      </c>
      <c r="AR21" s="48" t="e">
        <f t="shared" ca="1" si="16"/>
        <v>#N/A</v>
      </c>
    </row>
    <row r="22" spans="1:44">
      <c r="A22" s="6"/>
      <c r="B22" s="6">
        <v>1</v>
      </c>
      <c r="C22" s="6" t="s">
        <v>61</v>
      </c>
      <c r="D22" s="6"/>
      <c r="E22" s="6"/>
      <c r="F22" s="34">
        <v>20</v>
      </c>
      <c r="G22" s="46">
        <f t="shared" ca="1" si="0"/>
        <v>1600</v>
      </c>
      <c r="H22" s="34" t="e">
        <f t="shared" si="1"/>
        <v>#N/A</v>
      </c>
      <c r="J22" s="34" t="e">
        <f t="shared" ca="1" si="2"/>
        <v>#N/A</v>
      </c>
      <c r="K22" s="34" t="e">
        <f ca="1">IF($D$32=1,$B$48*J22+$C$48,IF($D$32=2,$B$48*J22^2+$C$48*J22+$D$48,IF($D$32=3,$B$48*J22^3+$C$48*J22^2+$D$48*J22+$E$48,IF($D$32=4,$B$48*J22^'Double Analysis'!$G$13,IF($D$32=5,EXP($C$48)*J22^$B$48,IF($D$32=6,EXP($C$48+J22*$B$48),NA()))))))</f>
        <v>#N/A</v>
      </c>
      <c r="L22" s="34" t="e">
        <f ca="1">IF($D$32=1,$B$54*J22+$C$54,IF($D$32=2,$B$54*J22^2+$C$54*J22+$D$54,IF($D$32=3,$B$54*J22^3+$C$54*J22^2+$D$54*J22+$E$54,IF($D$32=4,$B$54*J22^'Double Analysis'!$G$13,IF($D$32=5,EXP($C$54)*J22^$B$54,IF($D$32=6,EXP($C$54+J22*$B$54),NA()))))))</f>
        <v>#N/A</v>
      </c>
      <c r="N22" s="34" t="e">
        <f t="shared" ca="1" si="3"/>
        <v>#N/A</v>
      </c>
      <c r="O22" s="34" t="e">
        <f t="shared" ca="1" si="4"/>
        <v>#N/A</v>
      </c>
      <c r="P22" s="34" t="e">
        <f t="shared" si="5"/>
        <v>#N/A</v>
      </c>
      <c r="R22" s="34" t="str">
        <f t="shared" si="6"/>
        <v/>
      </c>
      <c r="Y22" s="34" t="str">
        <f t="shared" si="7"/>
        <v xml:space="preserve"> </v>
      </c>
      <c r="Z22" s="34" t="e">
        <f t="shared" ca="1" si="8"/>
        <v>#N/A</v>
      </c>
      <c r="AA22" s="34" t="e">
        <f t="array" aca="1" ref="AA22" ca="1">IF(ISNUMBER(Z22),INDEX(DA_y1data,MATCH(Z22,$Y$2:$Y$102,0)),NA())</f>
        <v>#N/A</v>
      </c>
      <c r="AB22" s="34" t="e">
        <f t="shared" si="9"/>
        <v>#N/A</v>
      </c>
      <c r="AC22" s="34" t="str">
        <f t="shared" si="10"/>
        <v xml:space="preserve"> </v>
      </c>
      <c r="AD22" s="34" t="e">
        <f t="shared" ca="1" si="11"/>
        <v>#N/A</v>
      </c>
      <c r="AE22" s="34" t="e">
        <f t="array" aca="1" ref="AE22" ca="1">IF(ISNUMBER(AD22),INDEX(DA_y2data,MATCH(AD22,$AC$2:$AC$102,0)),NA())</f>
        <v>#N/A</v>
      </c>
      <c r="AF22" s="34" t="e">
        <f t="shared" si="12"/>
        <v>#N/A</v>
      </c>
      <c r="AI22" s="34" t="e">
        <f ca="1">$AH$15*EXP(-(((AN2-$AH$16)/$AH$17)^2))</f>
        <v>#N/A</v>
      </c>
      <c r="AK22" s="46">
        <f>MIN('Manual Fitting'!$A$3:$A$32)+(MAX('Manual Fitting'!$A$3:$A$32)-MIN('Manual Fitting'!$A$3:$A$17))*(Guts!F22/100)</f>
        <v>0</v>
      </c>
      <c r="AL22" s="46">
        <f t="shared" si="13"/>
        <v>0</v>
      </c>
      <c r="AP22" s="46">
        <f t="shared" si="14"/>
        <v>0</v>
      </c>
      <c r="AQ22" s="48">
        <f t="shared" si="15"/>
        <v>0</v>
      </c>
      <c r="AR22" s="48" t="e">
        <f t="shared" ca="1" si="16"/>
        <v>#N/A</v>
      </c>
    </row>
    <row r="23" spans="1:44">
      <c r="A23" s="6"/>
      <c r="B23" s="6">
        <v>2</v>
      </c>
      <c r="C23" s="6" t="e">
        <f t="array" ref="C23">INDEX(E23:E27,#REF!+1)</f>
        <v>#REF!</v>
      </c>
      <c r="D23" s="6"/>
      <c r="E23" s="6" t="s">
        <v>77</v>
      </c>
      <c r="F23" s="34">
        <v>21</v>
      </c>
      <c r="G23" s="46">
        <f t="shared" ca="1" si="0"/>
        <v>1680</v>
      </c>
      <c r="H23" s="34" t="e">
        <f t="shared" si="1"/>
        <v>#N/A</v>
      </c>
      <c r="J23" s="34" t="e">
        <f t="shared" ca="1" si="2"/>
        <v>#N/A</v>
      </c>
      <c r="K23" s="34" t="e">
        <f ca="1">IF($D$32=1,$B$48*J23+$C$48,IF($D$32=2,$B$48*J23^2+$C$48*J23+$D$48,IF($D$32=3,$B$48*J23^3+$C$48*J23^2+$D$48*J23+$E$48,IF($D$32=4,$B$48*J23^'Double Analysis'!$G$13,IF($D$32=5,EXP($C$48)*J23^$B$48,IF($D$32=6,EXP($C$48+J23*$B$48),NA()))))))</f>
        <v>#N/A</v>
      </c>
      <c r="L23" s="34" t="e">
        <f ca="1">IF($D$32=1,$B$54*J23+$C$54,IF($D$32=2,$B$54*J23^2+$C$54*J23+$D$54,IF($D$32=3,$B$54*J23^3+$C$54*J23^2+$D$54*J23+$E$54,IF($D$32=4,$B$54*J23^'Double Analysis'!$G$13,IF($D$32=5,EXP($C$54)*J23^$B$54,IF($D$32=6,EXP($C$54+J23*$B$54),NA()))))))</f>
        <v>#N/A</v>
      </c>
      <c r="N23" s="34" t="e">
        <f t="shared" ca="1" si="3"/>
        <v>#N/A</v>
      </c>
      <c r="O23" s="34" t="e">
        <f t="shared" ca="1" si="4"/>
        <v>#N/A</v>
      </c>
      <c r="P23" s="34" t="e">
        <f t="shared" si="5"/>
        <v>#N/A</v>
      </c>
      <c r="R23" s="34" t="str">
        <f t="shared" si="6"/>
        <v/>
      </c>
      <c r="Y23" s="34" t="str">
        <f t="shared" si="7"/>
        <v xml:space="preserve"> </v>
      </c>
      <c r="Z23" s="34" t="e">
        <f t="shared" ca="1" si="8"/>
        <v>#N/A</v>
      </c>
      <c r="AA23" s="34" t="e">
        <f t="array" aca="1" ref="AA23" ca="1">IF(ISNUMBER(Z23),INDEX(DA_y1data,MATCH(Z23,$Y$2:$Y$102,0)),NA())</f>
        <v>#N/A</v>
      </c>
      <c r="AB23" s="34" t="e">
        <f t="shared" si="9"/>
        <v>#N/A</v>
      </c>
      <c r="AC23" s="34" t="str">
        <f t="shared" si="10"/>
        <v xml:space="preserve"> </v>
      </c>
      <c r="AD23" s="34" t="e">
        <f t="shared" ca="1" si="11"/>
        <v>#N/A</v>
      </c>
      <c r="AE23" s="34" t="e">
        <f t="array" aca="1" ref="AE23" ca="1">IF(ISNUMBER(AD23),INDEX(DA_y2data,MATCH(AD23,$AC$2:$AC$102,0)),NA())</f>
        <v>#N/A</v>
      </c>
      <c r="AF23" s="34" t="e">
        <f t="shared" si="12"/>
        <v>#N/A</v>
      </c>
      <c r="AK23" s="46">
        <f>MIN('Manual Fitting'!$A$3:$A$32)+(MAX('Manual Fitting'!$A$3:$A$32)-MIN('Manual Fitting'!$A$3:$A$17))*(Guts!F23/100)</f>
        <v>0</v>
      </c>
      <c r="AL23" s="46">
        <f t="shared" si="13"/>
        <v>0</v>
      </c>
      <c r="AP23" s="46">
        <f t="shared" si="14"/>
        <v>0</v>
      </c>
      <c r="AQ23" s="48">
        <f t="shared" si="15"/>
        <v>0</v>
      </c>
      <c r="AR23" s="48" t="e">
        <f t="shared" ca="1" si="16"/>
        <v>#N/A</v>
      </c>
    </row>
    <row r="24" spans="1:44">
      <c r="A24" s="6"/>
      <c r="B24" s="6">
        <v>3</v>
      </c>
      <c r="C24" s="6" t="s">
        <v>78</v>
      </c>
      <c r="D24" s="6"/>
      <c r="E24" s="6" t="s">
        <v>79</v>
      </c>
      <c r="F24" s="34">
        <v>22</v>
      </c>
      <c r="G24" s="46">
        <f t="shared" ca="1" si="0"/>
        <v>1760</v>
      </c>
      <c r="H24" s="34" t="e">
        <f t="shared" si="1"/>
        <v>#N/A</v>
      </c>
      <c r="J24" s="34" t="e">
        <f t="shared" ca="1" si="2"/>
        <v>#N/A</v>
      </c>
      <c r="K24" s="34" t="e">
        <f ca="1">IF($D$32=1,$B$48*J24+$C$48,IF($D$32=2,$B$48*J24^2+$C$48*J24+$D$48,IF($D$32=3,$B$48*J24^3+$C$48*J24^2+$D$48*J24+$E$48,IF($D$32=4,$B$48*J24^'Double Analysis'!$G$13,IF($D$32=5,EXP($C$48)*J24^$B$48,IF($D$32=6,EXP($C$48+J24*$B$48),NA()))))))</f>
        <v>#N/A</v>
      </c>
      <c r="L24" s="34" t="e">
        <f ca="1">IF($D$32=1,$B$54*J24+$C$54,IF($D$32=2,$B$54*J24^2+$C$54*J24+$D$54,IF($D$32=3,$B$54*J24^3+$C$54*J24^2+$D$54*J24+$E$54,IF($D$32=4,$B$54*J24^'Double Analysis'!$G$13,IF($D$32=5,EXP($C$54)*J24^$B$54,IF($D$32=6,EXP($C$54+J24*$B$54),NA()))))))</f>
        <v>#N/A</v>
      </c>
      <c r="N24" s="34" t="e">
        <f t="shared" ca="1" si="3"/>
        <v>#N/A</v>
      </c>
      <c r="O24" s="34" t="e">
        <f t="shared" ca="1" si="4"/>
        <v>#N/A</v>
      </c>
      <c r="P24" s="34" t="e">
        <f t="shared" si="5"/>
        <v>#N/A</v>
      </c>
      <c r="R24" s="34" t="str">
        <f t="shared" si="6"/>
        <v/>
      </c>
      <c r="Y24" s="34" t="str">
        <f t="shared" si="7"/>
        <v xml:space="preserve"> </v>
      </c>
      <c r="Z24" s="34" t="e">
        <f t="shared" ca="1" si="8"/>
        <v>#N/A</v>
      </c>
      <c r="AA24" s="34" t="e">
        <f t="array" aca="1" ref="AA24" ca="1">IF(ISNUMBER(Z24),INDEX(DA_y1data,MATCH(Z24,$Y$2:$Y$102,0)),NA())</f>
        <v>#N/A</v>
      </c>
      <c r="AB24" s="34" t="e">
        <f t="shared" si="9"/>
        <v>#N/A</v>
      </c>
      <c r="AC24" s="34" t="str">
        <f t="shared" si="10"/>
        <v xml:space="preserve"> </v>
      </c>
      <c r="AD24" s="34" t="e">
        <f t="shared" ca="1" si="11"/>
        <v>#N/A</v>
      </c>
      <c r="AE24" s="34" t="e">
        <f t="array" aca="1" ref="AE24" ca="1">IF(ISNUMBER(AD24),INDEX(DA_y2data,MATCH(AD24,$AC$2:$AC$102,0)),NA())</f>
        <v>#N/A</v>
      </c>
      <c r="AF24" s="34" t="e">
        <f t="shared" si="12"/>
        <v>#N/A</v>
      </c>
      <c r="AK24" s="46">
        <f>MIN('Manual Fitting'!$A$3:$A$32)+(MAX('Manual Fitting'!$A$3:$A$32)-MIN('Manual Fitting'!$A$3:$A$17))*(Guts!F24/100)</f>
        <v>0</v>
      </c>
      <c r="AL24" s="46">
        <f t="shared" si="13"/>
        <v>0</v>
      </c>
      <c r="AP24" s="46">
        <f t="shared" si="14"/>
        <v>0</v>
      </c>
      <c r="AQ24" s="48">
        <f t="shared" si="15"/>
        <v>0</v>
      </c>
      <c r="AR24" s="48" t="e">
        <f t="shared" ca="1" si="16"/>
        <v>#N/A</v>
      </c>
    </row>
    <row r="25" spans="1:44">
      <c r="A25" s="6"/>
      <c r="B25" s="6">
        <v>4</v>
      </c>
      <c r="C25" s="6" t="s">
        <v>80</v>
      </c>
      <c r="D25" s="6"/>
      <c r="E25" s="6" t="s">
        <v>81</v>
      </c>
      <c r="F25" s="34">
        <v>23</v>
      </c>
      <c r="G25" s="46">
        <f t="shared" ca="1" si="0"/>
        <v>1840</v>
      </c>
      <c r="H25" s="34" t="e">
        <f t="shared" si="1"/>
        <v>#N/A</v>
      </c>
      <c r="J25" s="34" t="e">
        <f t="shared" ca="1" si="2"/>
        <v>#N/A</v>
      </c>
      <c r="K25" s="34" t="e">
        <f ca="1">IF($D$32=1,$B$48*J25+$C$48,IF($D$32=2,$B$48*J25^2+$C$48*J25+$D$48,IF($D$32=3,$B$48*J25^3+$C$48*J25^2+$D$48*J25+$E$48,IF($D$32=4,$B$48*J25^'Double Analysis'!$G$13,IF($D$32=5,EXP($C$48)*J25^$B$48,IF($D$32=6,EXP($C$48+J25*$B$48),NA()))))))</f>
        <v>#N/A</v>
      </c>
      <c r="L25" s="34" t="e">
        <f ca="1">IF($D$32=1,$B$54*J25+$C$54,IF($D$32=2,$B$54*J25^2+$C$54*J25+$D$54,IF($D$32=3,$B$54*J25^3+$C$54*J25^2+$D$54*J25+$E$54,IF($D$32=4,$B$54*J25^'Double Analysis'!$G$13,IF($D$32=5,EXP($C$54)*J25^$B$54,IF($D$32=6,EXP($C$54+J25*$B$54),NA()))))))</f>
        <v>#N/A</v>
      </c>
      <c r="N25" s="34" t="e">
        <f t="shared" ca="1" si="3"/>
        <v>#N/A</v>
      </c>
      <c r="O25" s="34" t="e">
        <f t="shared" ca="1" si="4"/>
        <v>#N/A</v>
      </c>
      <c r="P25" s="34" t="e">
        <f t="shared" si="5"/>
        <v>#N/A</v>
      </c>
      <c r="R25" s="34" t="str">
        <f t="shared" si="6"/>
        <v/>
      </c>
      <c r="Y25" s="34" t="str">
        <f t="shared" si="7"/>
        <v xml:space="preserve"> </v>
      </c>
      <c r="Z25" s="34" t="e">
        <f t="shared" ca="1" si="8"/>
        <v>#N/A</v>
      </c>
      <c r="AA25" s="34" t="e">
        <f t="array" aca="1" ref="AA25" ca="1">IF(ISNUMBER(Z25),INDEX(DA_y1data,MATCH(Z25,$Y$2:$Y$102,0)),NA())</f>
        <v>#N/A</v>
      </c>
      <c r="AB25" s="34" t="e">
        <f t="shared" si="9"/>
        <v>#N/A</v>
      </c>
      <c r="AC25" s="34" t="str">
        <f t="shared" si="10"/>
        <v xml:space="preserve"> </v>
      </c>
      <c r="AD25" s="34" t="e">
        <f t="shared" ca="1" si="11"/>
        <v>#N/A</v>
      </c>
      <c r="AE25" s="34" t="e">
        <f t="array" aca="1" ref="AE25" ca="1">IF(ISNUMBER(AD25),INDEX(DA_y2data,MATCH(AD25,$AC$2:$AC$102,0)),NA())</f>
        <v>#N/A</v>
      </c>
      <c r="AF25" s="34" t="e">
        <f t="shared" si="12"/>
        <v>#N/A</v>
      </c>
      <c r="AK25" s="46">
        <f>MIN('Manual Fitting'!$A$3:$A$32)+(MAX('Manual Fitting'!$A$3:$A$32)-MIN('Manual Fitting'!$A$3:$A$17))*(Guts!F25/100)</f>
        <v>0</v>
      </c>
      <c r="AL25" s="46">
        <f t="shared" si="13"/>
        <v>0</v>
      </c>
      <c r="AP25" s="46">
        <f t="shared" si="14"/>
        <v>0</v>
      </c>
      <c r="AQ25" s="48">
        <f t="shared" si="15"/>
        <v>0</v>
      </c>
      <c r="AR25" s="48" t="e">
        <f t="shared" ca="1" si="16"/>
        <v>#N/A</v>
      </c>
    </row>
    <row r="26" spans="1:44">
      <c r="A26" s="6"/>
      <c r="B26" s="6">
        <v>5</v>
      </c>
      <c r="C26" s="6" t="s">
        <v>82</v>
      </c>
      <c r="D26" s="6"/>
      <c r="E26" s="6" t="s">
        <v>83</v>
      </c>
      <c r="F26" s="34">
        <v>24</v>
      </c>
      <c r="G26" s="46">
        <f t="shared" ca="1" si="0"/>
        <v>1920</v>
      </c>
      <c r="H26" s="34" t="e">
        <f t="shared" si="1"/>
        <v>#N/A</v>
      </c>
      <c r="J26" s="34" t="e">
        <f t="shared" ca="1" si="2"/>
        <v>#N/A</v>
      </c>
      <c r="K26" s="34" t="e">
        <f ca="1">IF($D$32=1,$B$48*J26+$C$48,IF($D$32=2,$B$48*J26^2+$C$48*J26+$D$48,IF($D$32=3,$B$48*J26^3+$C$48*J26^2+$D$48*J26+$E$48,IF($D$32=4,$B$48*J26^'Double Analysis'!$G$13,IF($D$32=5,EXP($C$48)*J26^$B$48,IF($D$32=6,EXP($C$48+J26*$B$48),NA()))))))</f>
        <v>#N/A</v>
      </c>
      <c r="L26" s="34" t="e">
        <f ca="1">IF($D$32=1,$B$54*J26+$C$54,IF($D$32=2,$B$54*J26^2+$C$54*J26+$D$54,IF($D$32=3,$B$54*J26^3+$C$54*J26^2+$D$54*J26+$E$54,IF($D$32=4,$B$54*J26^'Double Analysis'!$G$13,IF($D$32=5,EXP($C$54)*J26^$B$54,IF($D$32=6,EXP($C$54+J26*$B$54),NA()))))))</f>
        <v>#N/A</v>
      </c>
      <c r="N26" s="34" t="e">
        <f t="shared" ca="1" si="3"/>
        <v>#N/A</v>
      </c>
      <c r="O26" s="34" t="e">
        <f t="shared" ca="1" si="4"/>
        <v>#N/A</v>
      </c>
      <c r="P26" s="34" t="e">
        <f t="shared" si="5"/>
        <v>#N/A</v>
      </c>
      <c r="R26" s="34" t="str">
        <f t="shared" si="6"/>
        <v/>
      </c>
      <c r="Y26" s="34" t="str">
        <f t="shared" si="7"/>
        <v xml:space="preserve"> </v>
      </c>
      <c r="Z26" s="34" t="e">
        <f t="shared" ca="1" si="8"/>
        <v>#N/A</v>
      </c>
      <c r="AA26" s="34" t="e">
        <f t="array" aca="1" ref="AA26" ca="1">IF(ISNUMBER(Z26),INDEX(DA_y1data,MATCH(Z26,$Y$2:$Y$102,0)),NA())</f>
        <v>#N/A</v>
      </c>
      <c r="AB26" s="34" t="e">
        <f t="shared" si="9"/>
        <v>#N/A</v>
      </c>
      <c r="AC26" s="34" t="str">
        <f t="shared" si="10"/>
        <v xml:space="preserve"> </v>
      </c>
      <c r="AD26" s="34" t="e">
        <f t="shared" ca="1" si="11"/>
        <v>#N/A</v>
      </c>
      <c r="AE26" s="34" t="e">
        <f t="array" aca="1" ref="AE26" ca="1">IF(ISNUMBER(AD26),INDEX(DA_y2data,MATCH(AD26,$AC$2:$AC$102,0)),NA())</f>
        <v>#N/A</v>
      </c>
      <c r="AF26" s="34" t="e">
        <f t="shared" si="12"/>
        <v>#N/A</v>
      </c>
      <c r="AK26" s="46">
        <f>MIN('Manual Fitting'!$A$3:$A$32)+(MAX('Manual Fitting'!$A$3:$A$32)-MIN('Manual Fitting'!$A$3:$A$17))*(Guts!F26/100)</f>
        <v>0</v>
      </c>
      <c r="AL26" s="46">
        <f t="shared" si="13"/>
        <v>0</v>
      </c>
      <c r="AP26" s="46">
        <f t="shared" si="14"/>
        <v>0</v>
      </c>
      <c r="AQ26" s="48">
        <f t="shared" si="15"/>
        <v>0</v>
      </c>
      <c r="AR26" s="48" t="e">
        <f t="shared" ca="1" si="16"/>
        <v>#N/A</v>
      </c>
    </row>
    <row r="27" spans="1:44">
      <c r="A27" s="6"/>
      <c r="B27" s="6">
        <v>6</v>
      </c>
      <c r="C27" s="6" t="s">
        <v>84</v>
      </c>
      <c r="D27" s="6"/>
      <c r="E27" s="6" t="s">
        <v>85</v>
      </c>
      <c r="F27" s="34">
        <v>25</v>
      </c>
      <c r="G27" s="46">
        <f t="shared" ca="1" si="0"/>
        <v>2000</v>
      </c>
      <c r="H27" s="34" t="e">
        <f t="shared" si="1"/>
        <v>#N/A</v>
      </c>
      <c r="J27" s="34" t="e">
        <f t="shared" ca="1" si="2"/>
        <v>#N/A</v>
      </c>
      <c r="K27" s="34" t="e">
        <f ca="1">IF($D$32=1,$B$48*J27+$C$48,IF($D$32=2,$B$48*J27^2+$C$48*J27+$D$48,IF($D$32=3,$B$48*J27^3+$C$48*J27^2+$D$48*J27+$E$48,IF($D$32=4,$B$48*J27^'Double Analysis'!$G$13,IF($D$32=5,EXP($C$48)*J27^$B$48,IF($D$32=6,EXP($C$48+J27*$B$48),NA()))))))</f>
        <v>#N/A</v>
      </c>
      <c r="L27" s="34" t="e">
        <f ca="1">IF($D$32=1,$B$54*J27+$C$54,IF($D$32=2,$B$54*J27^2+$C$54*J27+$D$54,IF($D$32=3,$B$54*J27^3+$C$54*J27^2+$D$54*J27+$E$54,IF($D$32=4,$B$54*J27^'Double Analysis'!$G$13,IF($D$32=5,EXP($C$54)*J27^$B$54,IF($D$32=6,EXP($C$54+J27*$B$54),NA()))))))</f>
        <v>#N/A</v>
      </c>
      <c r="N27" s="34" t="e">
        <f t="shared" ca="1" si="3"/>
        <v>#N/A</v>
      </c>
      <c r="O27" s="34" t="e">
        <f t="shared" ca="1" si="4"/>
        <v>#N/A</v>
      </c>
      <c r="P27" s="34" t="e">
        <f t="shared" si="5"/>
        <v>#N/A</v>
      </c>
      <c r="R27" s="34" t="str">
        <f t="shared" si="6"/>
        <v/>
      </c>
      <c r="Y27" s="34" t="str">
        <f t="shared" si="7"/>
        <v xml:space="preserve"> </v>
      </c>
      <c r="Z27" s="34" t="e">
        <f t="shared" ca="1" si="8"/>
        <v>#N/A</v>
      </c>
      <c r="AA27" s="34" t="e">
        <f t="array" aca="1" ref="AA27" ca="1">IF(ISNUMBER(Z27),INDEX(DA_y1data,MATCH(Z27,$Y$2:$Y$102,0)),NA())</f>
        <v>#N/A</v>
      </c>
      <c r="AB27" s="34" t="e">
        <f t="shared" si="9"/>
        <v>#N/A</v>
      </c>
      <c r="AC27" s="34" t="str">
        <f t="shared" si="10"/>
        <v xml:space="preserve"> </v>
      </c>
      <c r="AD27" s="34" t="e">
        <f t="shared" ca="1" si="11"/>
        <v>#N/A</v>
      </c>
      <c r="AE27" s="34" t="e">
        <f t="array" aca="1" ref="AE27" ca="1">IF(ISNUMBER(AD27),INDEX(DA_y2data,MATCH(AD27,$AC$2:$AC$102,0)),NA())</f>
        <v>#N/A</v>
      </c>
      <c r="AF27" s="34" t="e">
        <f t="shared" si="12"/>
        <v>#N/A</v>
      </c>
      <c r="AK27" s="46">
        <f>MIN('Manual Fitting'!$A$3:$A$32)+(MAX('Manual Fitting'!$A$3:$A$32)-MIN('Manual Fitting'!$A$3:$A$17))*(Guts!F27/100)</f>
        <v>0</v>
      </c>
      <c r="AL27" s="46">
        <f t="shared" si="13"/>
        <v>0</v>
      </c>
      <c r="AP27" s="46">
        <f t="shared" si="14"/>
        <v>0</v>
      </c>
      <c r="AQ27" s="48">
        <f t="shared" si="15"/>
        <v>0</v>
      </c>
      <c r="AR27" s="48" t="e">
        <f t="shared" ca="1" si="16"/>
        <v>#N/A</v>
      </c>
    </row>
    <row r="28" spans="1:44">
      <c r="A28" s="6"/>
      <c r="B28" s="6">
        <v>7</v>
      </c>
      <c r="C28" s="6" t="s">
        <v>86</v>
      </c>
      <c r="D28" s="6"/>
      <c r="E28" s="6"/>
      <c r="F28" s="34">
        <v>26</v>
      </c>
      <c r="G28" s="46">
        <f t="shared" ca="1" si="0"/>
        <v>2080</v>
      </c>
      <c r="H28" s="34" t="e">
        <f t="shared" si="1"/>
        <v>#N/A</v>
      </c>
      <c r="J28" s="34" t="e">
        <f t="shared" ca="1" si="2"/>
        <v>#N/A</v>
      </c>
      <c r="K28" s="34" t="e">
        <f ca="1">IF($D$32=1,$B$48*J28+$C$48,IF($D$32=2,$B$48*J28^2+$C$48*J28+$D$48,IF($D$32=3,$B$48*J28^3+$C$48*J28^2+$D$48*J28+$E$48,IF($D$32=4,$B$48*J28^'Double Analysis'!$G$13,IF($D$32=5,EXP($C$48)*J28^$B$48,IF($D$32=6,EXP($C$48+J28*$B$48),NA()))))))</f>
        <v>#N/A</v>
      </c>
      <c r="L28" s="34" t="e">
        <f ca="1">IF($D$32=1,$B$54*J28+$C$54,IF($D$32=2,$B$54*J28^2+$C$54*J28+$D$54,IF($D$32=3,$B$54*J28^3+$C$54*J28^2+$D$54*J28+$E$54,IF($D$32=4,$B$54*J28^'Double Analysis'!$G$13,IF($D$32=5,EXP($C$54)*J28^$B$54,IF($D$32=6,EXP($C$54+J28*$B$54),NA()))))))</f>
        <v>#N/A</v>
      </c>
      <c r="N28" s="34" t="e">
        <f t="shared" ca="1" si="3"/>
        <v>#N/A</v>
      </c>
      <c r="O28" s="34" t="e">
        <f t="shared" ca="1" si="4"/>
        <v>#N/A</v>
      </c>
      <c r="P28" s="34" t="e">
        <f t="shared" si="5"/>
        <v>#N/A</v>
      </c>
      <c r="R28" s="34" t="str">
        <f t="shared" si="6"/>
        <v/>
      </c>
      <c r="Y28" s="34" t="str">
        <f t="shared" si="7"/>
        <v xml:space="preserve"> </v>
      </c>
      <c r="Z28" s="34" t="e">
        <f t="shared" ca="1" si="8"/>
        <v>#N/A</v>
      </c>
      <c r="AA28" s="34" t="e">
        <f t="array" aca="1" ref="AA28" ca="1">IF(ISNUMBER(Z28),INDEX(DA_y1data,MATCH(Z28,$Y$2:$Y$102,0)),NA())</f>
        <v>#N/A</v>
      </c>
      <c r="AB28" s="34" t="e">
        <f t="shared" si="9"/>
        <v>#N/A</v>
      </c>
      <c r="AC28" s="34" t="str">
        <f t="shared" si="10"/>
        <v xml:space="preserve"> </v>
      </c>
      <c r="AD28" s="34" t="e">
        <f t="shared" ca="1" si="11"/>
        <v>#N/A</v>
      </c>
      <c r="AE28" s="34" t="e">
        <f t="array" aca="1" ref="AE28" ca="1">IF(ISNUMBER(AD28),INDEX(DA_y2data,MATCH(AD28,$AC$2:$AC$102,0)),NA())</f>
        <v>#N/A</v>
      </c>
      <c r="AF28" s="34" t="e">
        <f t="shared" si="12"/>
        <v>#N/A</v>
      </c>
      <c r="AK28" s="46">
        <f>MIN('Manual Fitting'!$A$3:$A$32)+(MAX('Manual Fitting'!$A$3:$A$32)-MIN('Manual Fitting'!$A$3:$A$17))*(Guts!F28/100)</f>
        <v>0</v>
      </c>
      <c r="AL28" s="46">
        <f t="shared" si="13"/>
        <v>0</v>
      </c>
      <c r="AP28" s="46">
        <f t="shared" si="14"/>
        <v>0</v>
      </c>
      <c r="AQ28" s="48">
        <f t="shared" si="15"/>
        <v>0</v>
      </c>
      <c r="AR28" s="48" t="e">
        <f t="shared" ca="1" si="16"/>
        <v>#N/A</v>
      </c>
    </row>
    <row r="29" spans="1:44">
      <c r="A29" s="6"/>
      <c r="B29" s="6">
        <v>8</v>
      </c>
      <c r="C29" s="6" t="s">
        <v>86</v>
      </c>
      <c r="D29" s="6"/>
      <c r="E29" s="6"/>
      <c r="F29" s="34">
        <v>27</v>
      </c>
      <c r="G29" s="46">
        <f t="shared" ca="1" si="0"/>
        <v>2160</v>
      </c>
      <c r="H29" s="34" t="e">
        <f t="shared" si="1"/>
        <v>#N/A</v>
      </c>
      <c r="J29" s="34" t="e">
        <f t="shared" ca="1" si="2"/>
        <v>#N/A</v>
      </c>
      <c r="K29" s="34" t="e">
        <f ca="1">IF($D$32=1,$B$48*J29+$C$48,IF($D$32=2,$B$48*J29^2+$C$48*J29+$D$48,IF($D$32=3,$B$48*J29^3+$C$48*J29^2+$D$48*J29+$E$48,IF($D$32=4,$B$48*J29^'Double Analysis'!$G$13,IF($D$32=5,EXP($C$48)*J29^$B$48,IF($D$32=6,EXP($C$48+J29*$B$48),NA()))))))</f>
        <v>#N/A</v>
      </c>
      <c r="L29" s="34" t="e">
        <f ca="1">IF($D$32=1,$B$54*J29+$C$54,IF($D$32=2,$B$54*J29^2+$C$54*J29+$D$54,IF($D$32=3,$B$54*J29^3+$C$54*J29^2+$D$54*J29+$E$54,IF($D$32=4,$B$54*J29^'Double Analysis'!$G$13,IF($D$32=5,EXP($C$54)*J29^$B$54,IF($D$32=6,EXP($C$54+J29*$B$54),NA()))))))</f>
        <v>#N/A</v>
      </c>
      <c r="N29" s="34" t="e">
        <f t="shared" ca="1" si="3"/>
        <v>#N/A</v>
      </c>
      <c r="O29" s="34" t="e">
        <f t="shared" ca="1" si="4"/>
        <v>#N/A</v>
      </c>
      <c r="P29" s="34" t="e">
        <f t="shared" si="5"/>
        <v>#N/A</v>
      </c>
      <c r="R29" s="34" t="str">
        <f t="shared" si="6"/>
        <v/>
      </c>
      <c r="Y29" s="34" t="str">
        <f t="shared" si="7"/>
        <v xml:space="preserve"> </v>
      </c>
      <c r="Z29" s="34" t="e">
        <f t="shared" ca="1" si="8"/>
        <v>#N/A</v>
      </c>
      <c r="AA29" s="34" t="e">
        <f t="array" aca="1" ref="AA29" ca="1">IF(ISNUMBER(Z29),INDEX(DA_y1data,MATCH(Z29,$Y$2:$Y$102,0)),NA())</f>
        <v>#N/A</v>
      </c>
      <c r="AB29" s="34" t="e">
        <f t="shared" si="9"/>
        <v>#N/A</v>
      </c>
      <c r="AC29" s="34" t="str">
        <f t="shared" si="10"/>
        <v xml:space="preserve"> </v>
      </c>
      <c r="AD29" s="34" t="e">
        <f t="shared" ca="1" si="11"/>
        <v>#N/A</v>
      </c>
      <c r="AE29" s="34" t="e">
        <f t="array" aca="1" ref="AE29" ca="1">IF(ISNUMBER(AD29),INDEX(DA_y2data,MATCH(AD29,$AC$2:$AC$102,0)),NA())</f>
        <v>#N/A</v>
      </c>
      <c r="AF29" s="34" t="e">
        <f t="shared" si="12"/>
        <v>#N/A</v>
      </c>
      <c r="AK29" s="46">
        <f>MIN('Manual Fitting'!$A$3:$A$32)+(MAX('Manual Fitting'!$A$3:$A$32)-MIN('Manual Fitting'!$A$3:$A$17))*(Guts!F29/100)</f>
        <v>0</v>
      </c>
      <c r="AL29" s="46">
        <f t="shared" si="13"/>
        <v>0</v>
      </c>
      <c r="AP29" s="46">
        <f t="shared" si="14"/>
        <v>0</v>
      </c>
      <c r="AQ29" s="48">
        <f t="shared" si="15"/>
        <v>0</v>
      </c>
      <c r="AR29" s="48" t="e">
        <f t="shared" ca="1" si="16"/>
        <v>#N/A</v>
      </c>
    </row>
    <row r="30" spans="1:44">
      <c r="A30" s="6"/>
      <c r="B30" s="6"/>
      <c r="C30" s="6"/>
      <c r="D30" s="6"/>
      <c r="E30" s="6"/>
      <c r="F30" s="34">
        <v>28</v>
      </c>
      <c r="G30" s="46">
        <f t="shared" ca="1" si="0"/>
        <v>2240</v>
      </c>
      <c r="H30" s="34" t="e">
        <f t="shared" si="1"/>
        <v>#N/A</v>
      </c>
      <c r="J30" s="34" t="e">
        <f t="shared" ca="1" si="2"/>
        <v>#N/A</v>
      </c>
      <c r="K30" s="34" t="e">
        <f ca="1">IF($D$32=1,$B$48*J30+$C$48,IF($D$32=2,$B$48*J30^2+$C$48*J30+$D$48,IF($D$32=3,$B$48*J30^3+$C$48*J30^2+$D$48*J30+$E$48,IF($D$32=4,$B$48*J30^'Double Analysis'!$G$13,IF($D$32=5,EXP($C$48)*J30^$B$48,IF($D$32=6,EXP($C$48+J30*$B$48),NA()))))))</f>
        <v>#N/A</v>
      </c>
      <c r="L30" s="34" t="e">
        <f ca="1">IF($D$32=1,$B$54*J30+$C$54,IF($D$32=2,$B$54*J30^2+$C$54*J30+$D$54,IF($D$32=3,$B$54*J30^3+$C$54*J30^2+$D$54*J30+$E$54,IF($D$32=4,$B$54*J30^'Double Analysis'!$G$13,IF($D$32=5,EXP($C$54)*J30^$B$54,IF($D$32=6,EXP($C$54+J30*$B$54),NA()))))))</f>
        <v>#N/A</v>
      </c>
      <c r="N30" s="34" t="e">
        <f t="shared" ca="1" si="3"/>
        <v>#N/A</v>
      </c>
      <c r="O30" s="34" t="e">
        <f t="shared" ca="1" si="4"/>
        <v>#N/A</v>
      </c>
      <c r="P30" s="34" t="e">
        <f t="shared" si="5"/>
        <v>#N/A</v>
      </c>
      <c r="R30" s="34" t="str">
        <f t="shared" si="6"/>
        <v/>
      </c>
      <c r="Y30" s="34" t="str">
        <f t="shared" si="7"/>
        <v xml:space="preserve"> </v>
      </c>
      <c r="Z30" s="34" t="e">
        <f t="shared" ca="1" si="8"/>
        <v>#N/A</v>
      </c>
      <c r="AA30" s="34" t="e">
        <f t="array" aca="1" ref="AA30" ca="1">IF(ISNUMBER(Z30),INDEX(DA_y1data,MATCH(Z30,$Y$2:$Y$102,0)),NA())</f>
        <v>#N/A</v>
      </c>
      <c r="AB30" s="34" t="e">
        <f t="shared" si="9"/>
        <v>#N/A</v>
      </c>
      <c r="AC30" s="34" t="str">
        <f t="shared" si="10"/>
        <v xml:space="preserve"> </v>
      </c>
      <c r="AD30" s="34" t="e">
        <f t="shared" ca="1" si="11"/>
        <v>#N/A</v>
      </c>
      <c r="AE30" s="34" t="e">
        <f t="array" aca="1" ref="AE30" ca="1">IF(ISNUMBER(AD30),INDEX(DA_y2data,MATCH(AD30,$AC$2:$AC$102,0)),NA())</f>
        <v>#N/A</v>
      </c>
      <c r="AF30" s="34" t="e">
        <f t="shared" si="12"/>
        <v>#N/A</v>
      </c>
      <c r="AK30" s="46">
        <f>MIN('Manual Fitting'!$A$3:$A$32)+(MAX('Manual Fitting'!$A$3:$A$32)-MIN('Manual Fitting'!$A$3:$A$17))*(Guts!F30/100)</f>
        <v>0</v>
      </c>
      <c r="AL30" s="46">
        <f t="shared" si="13"/>
        <v>0</v>
      </c>
      <c r="AP30" s="46">
        <f t="shared" si="14"/>
        <v>0</v>
      </c>
      <c r="AQ30" s="48">
        <f t="shared" si="15"/>
        <v>0</v>
      </c>
      <c r="AR30" s="48" t="e">
        <f t="shared" ca="1" si="16"/>
        <v>#N/A</v>
      </c>
    </row>
    <row r="31" spans="1:44">
      <c r="A31" s="6"/>
      <c r="B31" s="6" t="s">
        <v>87</v>
      </c>
      <c r="C31" s="6"/>
      <c r="D31" s="6"/>
      <c r="E31" s="6"/>
      <c r="F31" s="34">
        <v>29</v>
      </c>
      <c r="G31" s="46">
        <f t="shared" ca="1" si="0"/>
        <v>2320</v>
      </c>
      <c r="H31" s="34" t="e">
        <f t="shared" si="1"/>
        <v>#N/A</v>
      </c>
      <c r="J31" s="34" t="e">
        <f t="shared" ca="1" si="2"/>
        <v>#N/A</v>
      </c>
      <c r="K31" s="34" t="e">
        <f ca="1">IF($D$32=1,$B$48*J31+$C$48,IF($D$32=2,$B$48*J31^2+$C$48*J31+$D$48,IF($D$32=3,$B$48*J31^3+$C$48*J31^2+$D$48*J31+$E$48,IF($D$32=4,$B$48*J31^'Double Analysis'!$G$13,IF($D$32=5,EXP($C$48)*J31^$B$48,IF($D$32=6,EXP($C$48+J31*$B$48),NA()))))))</f>
        <v>#N/A</v>
      </c>
      <c r="L31" s="34" t="e">
        <f ca="1">IF($D$32=1,$B$54*J31+$C$54,IF($D$32=2,$B$54*J31^2+$C$54*J31+$D$54,IF($D$32=3,$B$54*J31^3+$C$54*J31^2+$D$54*J31+$E$54,IF($D$32=4,$B$54*J31^'Double Analysis'!$G$13,IF($D$32=5,EXP($C$54)*J31^$B$54,IF($D$32=6,EXP($C$54+J31*$B$54),NA()))))))</f>
        <v>#N/A</v>
      </c>
      <c r="N31" s="34" t="e">
        <f t="shared" ca="1" si="3"/>
        <v>#N/A</v>
      </c>
      <c r="O31" s="34" t="e">
        <f t="shared" ca="1" si="4"/>
        <v>#N/A</v>
      </c>
      <c r="P31" s="34" t="e">
        <f t="shared" si="5"/>
        <v>#N/A</v>
      </c>
      <c r="R31" s="34" t="str">
        <f t="shared" si="6"/>
        <v/>
      </c>
      <c r="Y31" s="34" t="str">
        <f t="shared" si="7"/>
        <v xml:space="preserve"> </v>
      </c>
      <c r="Z31" s="34" t="e">
        <f t="shared" ca="1" si="8"/>
        <v>#N/A</v>
      </c>
      <c r="AA31" s="34" t="e">
        <f t="array" aca="1" ref="AA31" ca="1">IF(ISNUMBER(Z31),INDEX(DA_y1data,MATCH(Z31,$Y$2:$Y$102,0)),NA())</f>
        <v>#N/A</v>
      </c>
      <c r="AB31" s="34" t="e">
        <f t="shared" si="9"/>
        <v>#N/A</v>
      </c>
      <c r="AC31" s="34" t="str">
        <f t="shared" si="10"/>
        <v xml:space="preserve"> </v>
      </c>
      <c r="AD31" s="34" t="e">
        <f t="shared" ca="1" si="11"/>
        <v>#N/A</v>
      </c>
      <c r="AE31" s="34" t="e">
        <f t="array" aca="1" ref="AE31" ca="1">IF(ISNUMBER(AD31),INDEX(DA_y2data,MATCH(AD31,$AC$2:$AC$102,0)),NA())</f>
        <v>#N/A</v>
      </c>
      <c r="AF31" s="34" t="e">
        <f t="shared" si="12"/>
        <v>#N/A</v>
      </c>
      <c r="AK31" s="46">
        <f>MIN('Manual Fitting'!$A$3:$A$32)+(MAX('Manual Fitting'!$A$3:$A$32)-MIN('Manual Fitting'!$A$3:$A$17))*(Guts!F31/100)</f>
        <v>0</v>
      </c>
      <c r="AL31" s="46">
        <f t="shared" si="13"/>
        <v>0</v>
      </c>
      <c r="AP31" s="46">
        <f t="shared" si="14"/>
        <v>0</v>
      </c>
      <c r="AQ31" s="48">
        <f t="shared" si="15"/>
        <v>0</v>
      </c>
      <c r="AR31" s="48" t="e">
        <f t="shared" ca="1" si="16"/>
        <v>#N/A</v>
      </c>
    </row>
    <row r="32" spans="1:44">
      <c r="A32" s="56" t="s">
        <v>25</v>
      </c>
      <c r="B32" s="52"/>
      <c r="C32" s="52"/>
      <c r="D32" s="6">
        <v>2</v>
      </c>
      <c r="E32" s="6"/>
      <c r="F32" s="34">
        <v>30</v>
      </c>
      <c r="G32" s="46">
        <f t="shared" ca="1" si="0"/>
        <v>2400</v>
      </c>
      <c r="H32" s="34" t="e">
        <f t="shared" si="1"/>
        <v>#N/A</v>
      </c>
      <c r="J32" s="34" t="e">
        <f t="shared" ca="1" si="2"/>
        <v>#N/A</v>
      </c>
      <c r="K32" s="34" t="e">
        <f ca="1">IF($D$32=1,$B$48*J32+$C$48,IF($D$32=2,$B$48*J32^2+$C$48*J32+$D$48,IF($D$32=3,$B$48*J32^3+$C$48*J32^2+$D$48*J32+$E$48,IF($D$32=4,$B$48*J32^'Double Analysis'!$G$13,IF($D$32=5,EXP($C$48)*J32^$B$48,IF($D$32=6,EXP($C$48+J32*$B$48),NA()))))))</f>
        <v>#N/A</v>
      </c>
      <c r="L32" s="34" t="e">
        <f ca="1">IF($D$32=1,$B$54*J32+$C$54,IF($D$32=2,$B$54*J32^2+$C$54*J32+$D$54,IF($D$32=3,$B$54*J32^3+$C$54*J32^2+$D$54*J32+$E$54,IF($D$32=4,$B$54*J32^'Double Analysis'!$G$13,IF($D$32=5,EXP($C$54)*J32^$B$54,IF($D$32=6,EXP($C$54+J32*$B$54),NA()))))))</f>
        <v>#N/A</v>
      </c>
      <c r="N32" s="34" t="e">
        <f t="shared" ca="1" si="3"/>
        <v>#N/A</v>
      </c>
      <c r="O32" s="34" t="e">
        <f t="shared" ca="1" si="4"/>
        <v>#N/A</v>
      </c>
      <c r="P32" s="34" t="e">
        <f t="shared" si="5"/>
        <v>#N/A</v>
      </c>
      <c r="R32" s="34" t="str">
        <f t="shared" si="6"/>
        <v/>
      </c>
      <c r="Y32" s="34" t="str">
        <f t="shared" si="7"/>
        <v xml:space="preserve"> </v>
      </c>
      <c r="Z32" s="34" t="e">
        <f t="shared" ca="1" si="8"/>
        <v>#N/A</v>
      </c>
      <c r="AA32" s="34" t="e">
        <f t="array" aca="1" ref="AA32" ca="1">IF(ISNUMBER(Z32),INDEX(DA_y1data,MATCH(Z32,$Y$2:$Y$102,0)),NA())</f>
        <v>#N/A</v>
      </c>
      <c r="AB32" s="34" t="e">
        <f t="shared" si="9"/>
        <v>#N/A</v>
      </c>
      <c r="AC32" s="34" t="str">
        <f t="shared" si="10"/>
        <v xml:space="preserve"> </v>
      </c>
      <c r="AD32" s="34" t="e">
        <f t="shared" ca="1" si="11"/>
        <v>#N/A</v>
      </c>
      <c r="AE32" s="34" t="e">
        <f t="array" aca="1" ref="AE32" ca="1">IF(ISNUMBER(AD32),INDEX(DA_y2data,MATCH(AD32,$AC$2:$AC$102,0)),NA())</f>
        <v>#N/A</v>
      </c>
      <c r="AF32" s="34" t="e">
        <f t="shared" si="12"/>
        <v>#N/A</v>
      </c>
      <c r="AK32" s="46">
        <f>MIN('Manual Fitting'!$A$3:$A$32)+(MAX('Manual Fitting'!$A$3:$A$32)-MIN('Manual Fitting'!$A$3:$A$17))*(Guts!F32/100)</f>
        <v>0</v>
      </c>
      <c r="AL32" s="46">
        <f t="shared" si="13"/>
        <v>0</v>
      </c>
      <c r="AP32" s="46">
        <f t="shared" si="14"/>
        <v>0</v>
      </c>
      <c r="AQ32" s="48">
        <f t="shared" si="15"/>
        <v>0</v>
      </c>
      <c r="AR32" s="48" t="e">
        <f t="shared" ca="1" si="16"/>
        <v>#N/A</v>
      </c>
    </row>
    <row r="33" spans="1:44">
      <c r="A33" s="56" t="s">
        <v>88</v>
      </c>
      <c r="B33" s="52"/>
      <c r="C33" s="52"/>
      <c r="D33" s="6" t="e">
        <f t="array" ref="D33">LOOKUP(2,1/ISNUMBER('Double Analysis'!A:A),ROW('Double Analysis'!A:A))</f>
        <v>#N/A</v>
      </c>
      <c r="E33" s="6"/>
      <c r="F33" s="34">
        <v>31</v>
      </c>
      <c r="G33" s="46">
        <f t="shared" ca="1" si="0"/>
        <v>2480</v>
      </c>
      <c r="H33" s="34" t="e">
        <f t="shared" si="1"/>
        <v>#N/A</v>
      </c>
      <c r="J33" s="34" t="e">
        <f t="shared" ca="1" si="2"/>
        <v>#N/A</v>
      </c>
      <c r="K33" s="34" t="e">
        <f ca="1">IF($D$32=1,$B$48*J33+$C$48,IF($D$32=2,$B$48*J33^2+$C$48*J33+$D$48,IF($D$32=3,$B$48*J33^3+$C$48*J33^2+$D$48*J33+$E$48,IF($D$32=4,$B$48*J33^'Double Analysis'!$G$13,IF($D$32=5,EXP($C$48)*J33^$B$48,IF($D$32=6,EXP($C$48+J33*$B$48),NA()))))))</f>
        <v>#N/A</v>
      </c>
      <c r="L33" s="34" t="e">
        <f ca="1">IF($D$32=1,$B$54*J33+$C$54,IF($D$32=2,$B$54*J33^2+$C$54*J33+$D$54,IF($D$32=3,$B$54*J33^3+$C$54*J33^2+$D$54*J33+$E$54,IF($D$32=4,$B$54*J33^'Double Analysis'!$G$13,IF($D$32=5,EXP($C$54)*J33^$B$54,IF($D$32=6,EXP($C$54+J33*$B$54),NA()))))))</f>
        <v>#N/A</v>
      </c>
      <c r="N33" s="34" t="e">
        <f t="shared" ca="1" si="3"/>
        <v>#N/A</v>
      </c>
      <c r="O33" s="34" t="e">
        <f t="shared" ca="1" si="4"/>
        <v>#N/A</v>
      </c>
      <c r="P33" s="34" t="e">
        <f t="shared" si="5"/>
        <v>#N/A</v>
      </c>
      <c r="R33" s="34" t="str">
        <f t="shared" si="6"/>
        <v/>
      </c>
      <c r="Y33" s="34" t="str">
        <f t="shared" si="7"/>
        <v xml:space="preserve"> </v>
      </c>
      <c r="Z33" s="34" t="e">
        <f t="shared" ca="1" si="8"/>
        <v>#N/A</v>
      </c>
      <c r="AA33" s="34" t="e">
        <f t="array" aca="1" ref="AA33" ca="1">IF(ISNUMBER(Z33),INDEX(DA_y1data,MATCH(Z33,$Y$2:$Y$102,0)),NA())</f>
        <v>#N/A</v>
      </c>
      <c r="AB33" s="34" t="e">
        <f t="shared" si="9"/>
        <v>#N/A</v>
      </c>
      <c r="AC33" s="34" t="str">
        <f t="shared" si="10"/>
        <v xml:space="preserve"> </v>
      </c>
      <c r="AD33" s="34" t="e">
        <f t="shared" ca="1" si="11"/>
        <v>#N/A</v>
      </c>
      <c r="AE33" s="34" t="e">
        <f t="array" aca="1" ref="AE33" ca="1">IF(ISNUMBER(AD33),INDEX(DA_y2data,MATCH(AD33,$AC$2:$AC$102,0)),NA())</f>
        <v>#N/A</v>
      </c>
      <c r="AF33" s="34" t="e">
        <f t="shared" si="12"/>
        <v>#N/A</v>
      </c>
      <c r="AK33" s="46">
        <f>MIN('Manual Fitting'!$A$3:$A$32)+(MAX('Manual Fitting'!$A$3:$A$32)-MIN('Manual Fitting'!$A$3:$A$17))*(Guts!F33/100)</f>
        <v>0</v>
      </c>
      <c r="AL33" s="46">
        <f t="shared" si="13"/>
        <v>0</v>
      </c>
      <c r="AP33" s="46">
        <f t="shared" si="14"/>
        <v>0</v>
      </c>
      <c r="AQ33" s="48">
        <f t="shared" si="15"/>
        <v>0</v>
      </c>
      <c r="AR33" s="48" t="e">
        <f t="shared" ca="1" si="16"/>
        <v>#N/A</v>
      </c>
    </row>
    <row r="34" spans="1:44">
      <c r="A34" s="56" t="s">
        <v>89</v>
      </c>
      <c r="B34" s="52"/>
      <c r="C34" s="52"/>
      <c r="D34" s="6" t="e">
        <f t="array" ref="D34">LOOKUP(2,1/ISNUMBER('Double Analysis'!B:B),ROW('Double Analysis'!B:B))</f>
        <v>#N/A</v>
      </c>
      <c r="E34" s="6"/>
      <c r="F34" s="34">
        <v>32</v>
      </c>
      <c r="G34" s="46">
        <f t="shared" ca="1" si="0"/>
        <v>2560</v>
      </c>
      <c r="H34" s="34" t="e">
        <f t="shared" si="1"/>
        <v>#N/A</v>
      </c>
      <c r="J34" s="34" t="e">
        <f t="shared" ca="1" si="2"/>
        <v>#N/A</v>
      </c>
      <c r="K34" s="34" t="e">
        <f ca="1">IF($D$32=1,$B$48*J34+$C$48,IF($D$32=2,$B$48*J34^2+$C$48*J34+$D$48,IF($D$32=3,$B$48*J34^3+$C$48*J34^2+$D$48*J34+$E$48,IF($D$32=4,$B$48*J34^'Double Analysis'!$G$13,IF($D$32=5,EXP($C$48)*J34^$B$48,IF($D$32=6,EXP($C$48+J34*$B$48),NA()))))))</f>
        <v>#N/A</v>
      </c>
      <c r="L34" s="34" t="e">
        <f ca="1">IF($D$32=1,$B$54*J34+$C$54,IF($D$32=2,$B$54*J34^2+$C$54*J34+$D$54,IF($D$32=3,$B$54*J34^3+$C$54*J34^2+$D$54*J34+$E$54,IF($D$32=4,$B$54*J34^'Double Analysis'!$G$13,IF($D$32=5,EXP($C$54)*J34^$B$54,IF($D$32=6,EXP($C$54+J34*$B$54),NA()))))))</f>
        <v>#N/A</v>
      </c>
      <c r="N34" s="34" t="e">
        <f t="shared" ca="1" si="3"/>
        <v>#N/A</v>
      </c>
      <c r="O34" s="34" t="e">
        <f t="shared" ca="1" si="4"/>
        <v>#N/A</v>
      </c>
      <c r="P34" s="34" t="e">
        <f t="shared" si="5"/>
        <v>#N/A</v>
      </c>
      <c r="R34" s="34" t="str">
        <f t="shared" si="6"/>
        <v/>
      </c>
      <c r="Y34" s="34" t="str">
        <f t="shared" si="7"/>
        <v xml:space="preserve"> </v>
      </c>
      <c r="Z34" s="34" t="e">
        <f t="shared" ca="1" si="8"/>
        <v>#N/A</v>
      </c>
      <c r="AA34" s="34" t="e">
        <f t="array" aca="1" ref="AA34" ca="1">IF(ISNUMBER(Z34),INDEX(DA_y1data,MATCH(Z34,$Y$2:$Y$102,0)),NA())</f>
        <v>#N/A</v>
      </c>
      <c r="AB34" s="34" t="e">
        <f t="shared" si="9"/>
        <v>#N/A</v>
      </c>
      <c r="AC34" s="34" t="str">
        <f t="shared" si="10"/>
        <v xml:space="preserve"> </v>
      </c>
      <c r="AD34" s="34" t="e">
        <f t="shared" ca="1" si="11"/>
        <v>#N/A</v>
      </c>
      <c r="AE34" s="34" t="e">
        <f t="array" aca="1" ref="AE34" ca="1">IF(ISNUMBER(AD34),INDEX(DA_y2data,MATCH(AD34,$AC$2:$AC$102,0)),NA())</f>
        <v>#N/A</v>
      </c>
      <c r="AF34" s="34" t="e">
        <f t="shared" si="12"/>
        <v>#N/A</v>
      </c>
      <c r="AK34" s="46">
        <f>MIN('Manual Fitting'!$A$3:$A$32)+(MAX('Manual Fitting'!$A$3:$A$32)-MIN('Manual Fitting'!$A$3:$A$17))*(Guts!F34/100)</f>
        <v>0</v>
      </c>
      <c r="AL34" s="46">
        <f t="shared" si="13"/>
        <v>0</v>
      </c>
      <c r="AP34" s="46">
        <f t="shared" si="14"/>
        <v>0</v>
      </c>
      <c r="AQ34" s="48">
        <f t="shared" si="15"/>
        <v>0</v>
      </c>
      <c r="AR34" s="48" t="e">
        <f t="shared" ca="1" si="16"/>
        <v>#N/A</v>
      </c>
    </row>
    <row r="35" spans="1:44">
      <c r="A35" s="56" t="s">
        <v>90</v>
      </c>
      <c r="B35" s="52"/>
      <c r="C35" s="52"/>
      <c r="D35" s="6" t="e">
        <f>MIN(D33,D34)</f>
        <v>#N/A</v>
      </c>
      <c r="E35" s="6"/>
      <c r="F35" s="34">
        <v>33</v>
      </c>
      <c r="G35" s="46">
        <f t="shared" ca="1" si="0"/>
        <v>2640</v>
      </c>
      <c r="H35" s="34" t="e">
        <f t="shared" si="1"/>
        <v>#N/A</v>
      </c>
      <c r="J35" s="34" t="e">
        <f t="shared" ca="1" si="2"/>
        <v>#N/A</v>
      </c>
      <c r="K35" s="34" t="e">
        <f ca="1">IF($D$32=1,$B$48*J35+$C$48,IF($D$32=2,$B$48*J35^2+$C$48*J35+$D$48,IF($D$32=3,$B$48*J35^3+$C$48*J35^2+$D$48*J35+$E$48,IF($D$32=4,$B$48*J35^'Double Analysis'!$G$13,IF($D$32=5,EXP($C$48)*J35^$B$48,IF($D$32=6,EXP($C$48+J35*$B$48),NA()))))))</f>
        <v>#N/A</v>
      </c>
      <c r="L35" s="34" t="e">
        <f ca="1">IF($D$32=1,$B$54*J35+$C$54,IF($D$32=2,$B$54*J35^2+$C$54*J35+$D$54,IF($D$32=3,$B$54*J35^3+$C$54*J35^2+$D$54*J35+$E$54,IF($D$32=4,$B$54*J35^'Double Analysis'!$G$13,IF($D$32=5,EXP($C$54)*J35^$B$54,IF($D$32=6,EXP($C$54+J35*$B$54),NA()))))))</f>
        <v>#N/A</v>
      </c>
      <c r="N35" s="34" t="e">
        <f t="shared" ca="1" si="3"/>
        <v>#N/A</v>
      </c>
      <c r="O35" s="34" t="e">
        <f t="shared" ca="1" si="4"/>
        <v>#N/A</v>
      </c>
      <c r="P35" s="34" t="e">
        <f t="shared" si="5"/>
        <v>#N/A</v>
      </c>
      <c r="R35" s="34" t="str">
        <f t="shared" si="6"/>
        <v/>
      </c>
      <c r="Y35" s="34" t="str">
        <f t="shared" si="7"/>
        <v xml:space="preserve"> </v>
      </c>
      <c r="Z35" s="34" t="e">
        <f t="shared" ca="1" si="8"/>
        <v>#N/A</v>
      </c>
      <c r="AA35" s="34" t="e">
        <f t="array" aca="1" ref="AA35" ca="1">IF(ISNUMBER(Z35),INDEX(DA_y1data,MATCH(Z35,$Y$2:$Y$102,0)),NA())</f>
        <v>#N/A</v>
      </c>
      <c r="AB35" s="34" t="e">
        <f t="shared" si="9"/>
        <v>#N/A</v>
      </c>
      <c r="AC35" s="34" t="str">
        <f t="shared" si="10"/>
        <v xml:space="preserve"> </v>
      </c>
      <c r="AD35" s="34" t="e">
        <f t="shared" ca="1" si="11"/>
        <v>#N/A</v>
      </c>
      <c r="AE35" s="34" t="e">
        <f t="array" aca="1" ref="AE35" ca="1">IF(ISNUMBER(AD35),INDEX(DA_y2data,MATCH(AD35,$AC$2:$AC$102,0)),NA())</f>
        <v>#N/A</v>
      </c>
      <c r="AF35" s="34" t="e">
        <f t="shared" si="12"/>
        <v>#N/A</v>
      </c>
      <c r="AK35" s="46">
        <f>MIN('Manual Fitting'!$A$3:$A$32)+(MAX('Manual Fitting'!$A$3:$A$32)-MIN('Manual Fitting'!$A$3:$A$17))*(Guts!F35/100)</f>
        <v>0</v>
      </c>
      <c r="AL35" s="46">
        <f t="shared" si="13"/>
        <v>0</v>
      </c>
      <c r="AP35" s="46">
        <f t="shared" si="14"/>
        <v>0</v>
      </c>
      <c r="AQ35" s="48">
        <f t="shared" si="15"/>
        <v>0</v>
      </c>
      <c r="AR35" s="48" t="e">
        <f t="shared" ca="1" si="16"/>
        <v>#N/A</v>
      </c>
    </row>
    <row r="36" spans="1:44">
      <c r="A36" s="56" t="s">
        <v>91</v>
      </c>
      <c r="B36" s="52"/>
      <c r="C36" s="52"/>
      <c r="D36" s="6" t="e">
        <f t="array" ref="D36">MATCH(TRUE,ISNUMBER('Double Analysis'!$A:$A),0)</f>
        <v>#N/A</v>
      </c>
      <c r="E36" s="6"/>
      <c r="F36" s="34">
        <v>34</v>
      </c>
      <c r="G36" s="46">
        <f t="shared" ca="1" si="0"/>
        <v>2720</v>
      </c>
      <c r="H36" s="34" t="e">
        <f t="shared" si="1"/>
        <v>#N/A</v>
      </c>
      <c r="J36" s="34" t="e">
        <f t="shared" ca="1" si="2"/>
        <v>#N/A</v>
      </c>
      <c r="K36" s="34" t="e">
        <f ca="1">IF($D$32=1,$B$48*J36+$C$48,IF($D$32=2,$B$48*J36^2+$C$48*J36+$D$48,IF($D$32=3,$B$48*J36^3+$C$48*J36^2+$D$48*J36+$E$48,IF($D$32=4,$B$48*J36^'Double Analysis'!$G$13,IF($D$32=5,EXP($C$48)*J36^$B$48,IF($D$32=6,EXP($C$48+J36*$B$48),NA()))))))</f>
        <v>#N/A</v>
      </c>
      <c r="L36" s="34" t="e">
        <f ca="1">IF($D$32=1,$B$54*J36+$C$54,IF($D$32=2,$B$54*J36^2+$C$54*J36+$D$54,IF($D$32=3,$B$54*J36^3+$C$54*J36^2+$D$54*J36+$E$54,IF($D$32=4,$B$54*J36^'Double Analysis'!$G$13,IF($D$32=5,EXP($C$54)*J36^$B$54,IF($D$32=6,EXP($C$54+J36*$B$54),NA()))))))</f>
        <v>#N/A</v>
      </c>
      <c r="N36" s="34" t="e">
        <f t="shared" ca="1" si="3"/>
        <v>#N/A</v>
      </c>
      <c r="O36" s="34" t="e">
        <f t="shared" ca="1" si="4"/>
        <v>#N/A</v>
      </c>
      <c r="P36" s="34" t="e">
        <f t="shared" si="5"/>
        <v>#N/A</v>
      </c>
      <c r="R36" s="34" t="str">
        <f t="shared" si="6"/>
        <v/>
      </c>
      <c r="Y36" s="34" t="str">
        <f t="shared" si="7"/>
        <v xml:space="preserve"> </v>
      </c>
      <c r="Z36" s="34" t="e">
        <f t="shared" ca="1" si="8"/>
        <v>#N/A</v>
      </c>
      <c r="AA36" s="34" t="e">
        <f t="array" aca="1" ref="AA36" ca="1">IF(ISNUMBER(Z36),INDEX(DA_y1data,MATCH(Z36,$Y$2:$Y$102,0)),NA())</f>
        <v>#N/A</v>
      </c>
      <c r="AB36" s="34" t="e">
        <f t="shared" si="9"/>
        <v>#N/A</v>
      </c>
      <c r="AC36" s="34" t="str">
        <f t="shared" si="10"/>
        <v xml:space="preserve"> </v>
      </c>
      <c r="AD36" s="34" t="e">
        <f t="shared" ca="1" si="11"/>
        <v>#N/A</v>
      </c>
      <c r="AE36" s="34" t="e">
        <f t="array" aca="1" ref="AE36" ca="1">IF(ISNUMBER(AD36),INDEX(DA_y2data,MATCH(AD36,$AC$2:$AC$102,0)),NA())</f>
        <v>#N/A</v>
      </c>
      <c r="AF36" s="34" t="e">
        <f t="shared" si="12"/>
        <v>#N/A</v>
      </c>
      <c r="AK36" s="46">
        <f>MIN('Manual Fitting'!$A$3:$A$32)+(MAX('Manual Fitting'!$A$3:$A$32)-MIN('Manual Fitting'!$A$3:$A$17))*(Guts!F36/100)</f>
        <v>0</v>
      </c>
      <c r="AL36" s="46">
        <f t="shared" si="13"/>
        <v>0</v>
      </c>
      <c r="AP36" s="46">
        <f t="shared" si="14"/>
        <v>0</v>
      </c>
      <c r="AQ36" s="48">
        <f t="shared" si="15"/>
        <v>0</v>
      </c>
      <c r="AR36" s="48" t="e">
        <f t="shared" ca="1" si="16"/>
        <v>#N/A</v>
      </c>
    </row>
    <row r="37" spans="1:44">
      <c r="A37" s="56" t="s">
        <v>92</v>
      </c>
      <c r="B37" s="52"/>
      <c r="C37" s="52"/>
      <c r="D37" s="6" t="e">
        <f t="array" ref="D37">MATCH(TRUE,ISNUMBER('Double Analysis'!$B:$B),0)</f>
        <v>#N/A</v>
      </c>
      <c r="E37" s="6"/>
      <c r="F37" s="34">
        <v>35</v>
      </c>
      <c r="G37" s="46">
        <f t="shared" ca="1" si="0"/>
        <v>2800</v>
      </c>
      <c r="H37" s="34" t="e">
        <f t="shared" si="1"/>
        <v>#N/A</v>
      </c>
      <c r="J37" s="34" t="e">
        <f t="shared" ca="1" si="2"/>
        <v>#N/A</v>
      </c>
      <c r="K37" s="34" t="e">
        <f ca="1">IF($D$32=1,$B$48*J37+$C$48,IF($D$32=2,$B$48*J37^2+$C$48*J37+$D$48,IF($D$32=3,$B$48*J37^3+$C$48*J37^2+$D$48*J37+$E$48,IF($D$32=4,$B$48*J37^'Double Analysis'!$G$13,IF($D$32=5,EXP($C$48)*J37^$B$48,IF($D$32=6,EXP($C$48+J37*$B$48),NA()))))))</f>
        <v>#N/A</v>
      </c>
      <c r="L37" s="34" t="e">
        <f ca="1">IF($D$32=1,$B$54*J37+$C$54,IF($D$32=2,$B$54*J37^2+$C$54*J37+$D$54,IF($D$32=3,$B$54*J37^3+$C$54*J37^2+$D$54*J37+$E$54,IF($D$32=4,$B$54*J37^'Double Analysis'!$G$13,IF($D$32=5,EXP($C$54)*J37^$B$54,IF($D$32=6,EXP($C$54+J37*$B$54),NA()))))))</f>
        <v>#N/A</v>
      </c>
      <c r="N37" s="34" t="e">
        <f t="shared" ca="1" si="3"/>
        <v>#N/A</v>
      </c>
      <c r="O37" s="34" t="e">
        <f t="shared" ca="1" si="4"/>
        <v>#N/A</v>
      </c>
      <c r="P37" s="34" t="e">
        <f t="shared" si="5"/>
        <v>#N/A</v>
      </c>
      <c r="R37" s="34" t="str">
        <f t="shared" si="6"/>
        <v/>
      </c>
      <c r="Y37" s="34" t="str">
        <f t="shared" si="7"/>
        <v xml:space="preserve"> </v>
      </c>
      <c r="Z37" s="34" t="e">
        <f t="shared" ca="1" si="8"/>
        <v>#N/A</v>
      </c>
      <c r="AA37" s="34" t="e">
        <f t="array" aca="1" ref="AA37" ca="1">IF(ISNUMBER(Z37),INDEX(DA_y1data,MATCH(Z37,$Y$2:$Y$102,0)),NA())</f>
        <v>#N/A</v>
      </c>
      <c r="AB37" s="34" t="e">
        <f t="shared" si="9"/>
        <v>#N/A</v>
      </c>
      <c r="AC37" s="34" t="str">
        <f t="shared" si="10"/>
        <v xml:space="preserve"> </v>
      </c>
      <c r="AD37" s="34" t="e">
        <f t="shared" ca="1" si="11"/>
        <v>#N/A</v>
      </c>
      <c r="AE37" s="34" t="e">
        <f t="array" aca="1" ref="AE37" ca="1">IF(ISNUMBER(AD37),INDEX(DA_y2data,MATCH(AD37,$AC$2:$AC$102,0)),NA())</f>
        <v>#N/A</v>
      </c>
      <c r="AF37" s="34" t="e">
        <f t="shared" si="12"/>
        <v>#N/A</v>
      </c>
      <c r="AK37" s="46">
        <f>MIN('Manual Fitting'!$A$3:$A$32)+(MAX('Manual Fitting'!$A$3:$A$32)-MIN('Manual Fitting'!$A$3:$A$17))*(Guts!F37/100)</f>
        <v>0</v>
      </c>
      <c r="AL37" s="46">
        <f t="shared" si="13"/>
        <v>0</v>
      </c>
      <c r="AP37" s="46">
        <f t="shared" si="14"/>
        <v>0</v>
      </c>
      <c r="AQ37" s="48">
        <f t="shared" si="15"/>
        <v>0</v>
      </c>
      <c r="AR37" s="48" t="e">
        <f t="shared" ca="1" si="16"/>
        <v>#N/A</v>
      </c>
    </row>
    <row r="38" spans="1:44">
      <c r="A38" s="56" t="s">
        <v>93</v>
      </c>
      <c r="B38" s="52"/>
      <c r="C38" s="52"/>
      <c r="D38" s="6" t="e">
        <f>MAX(D36:D37)</f>
        <v>#N/A</v>
      </c>
      <c r="E38" s="6"/>
      <c r="F38" s="34">
        <v>36</v>
      </c>
      <c r="G38" s="46">
        <f t="shared" ca="1" si="0"/>
        <v>2880</v>
      </c>
      <c r="H38" s="34" t="e">
        <f t="shared" si="1"/>
        <v>#N/A</v>
      </c>
      <c r="J38" s="34" t="e">
        <f t="shared" ca="1" si="2"/>
        <v>#N/A</v>
      </c>
      <c r="K38" s="34" t="e">
        <f ca="1">IF($D$32=1,$B$48*J38+$C$48,IF($D$32=2,$B$48*J38^2+$C$48*J38+$D$48,IF($D$32=3,$B$48*J38^3+$C$48*J38^2+$D$48*J38+$E$48,IF($D$32=4,$B$48*J38^'Double Analysis'!$G$13,IF($D$32=5,EXP($C$48)*J38^$B$48,IF($D$32=6,EXP($C$48+J38*$B$48),NA()))))))</f>
        <v>#N/A</v>
      </c>
      <c r="L38" s="34" t="e">
        <f ca="1">IF($D$32=1,$B$54*J38+$C$54,IF($D$32=2,$B$54*J38^2+$C$54*J38+$D$54,IF($D$32=3,$B$54*J38^3+$C$54*J38^2+$D$54*J38+$E$54,IF($D$32=4,$B$54*J38^'Double Analysis'!$G$13,IF($D$32=5,EXP($C$54)*J38^$B$54,IF($D$32=6,EXP($C$54+J38*$B$54),NA()))))))</f>
        <v>#N/A</v>
      </c>
      <c r="N38" s="34" t="e">
        <f t="shared" ca="1" si="3"/>
        <v>#N/A</v>
      </c>
      <c r="O38" s="34" t="e">
        <f t="shared" ca="1" si="4"/>
        <v>#N/A</v>
      </c>
      <c r="P38" s="34" t="e">
        <f t="shared" si="5"/>
        <v>#N/A</v>
      </c>
      <c r="R38" s="34" t="str">
        <f t="shared" si="6"/>
        <v/>
      </c>
      <c r="Y38" s="34" t="str">
        <f t="shared" si="7"/>
        <v xml:space="preserve"> </v>
      </c>
      <c r="Z38" s="34" t="e">
        <f t="shared" ca="1" si="8"/>
        <v>#N/A</v>
      </c>
      <c r="AA38" s="34" t="e">
        <f t="array" aca="1" ref="AA38" ca="1">IF(ISNUMBER(Z38),INDEX(DA_y1data,MATCH(Z38,$Y$2:$Y$102,0)),NA())</f>
        <v>#N/A</v>
      </c>
      <c r="AB38" s="34" t="e">
        <f t="shared" si="9"/>
        <v>#N/A</v>
      </c>
      <c r="AC38" s="34" t="str">
        <f t="shared" si="10"/>
        <v xml:space="preserve"> </v>
      </c>
      <c r="AD38" s="34" t="e">
        <f t="shared" ca="1" si="11"/>
        <v>#N/A</v>
      </c>
      <c r="AE38" s="34" t="e">
        <f t="array" aca="1" ref="AE38" ca="1">IF(ISNUMBER(AD38),INDEX(DA_y2data,MATCH(AD38,$AC$2:$AC$102,0)),NA())</f>
        <v>#N/A</v>
      </c>
      <c r="AF38" s="34" t="e">
        <f t="shared" si="12"/>
        <v>#N/A</v>
      </c>
      <c r="AK38" s="46">
        <f>MIN('Manual Fitting'!$A$3:$A$32)+(MAX('Manual Fitting'!$A$3:$A$32)-MIN('Manual Fitting'!$A$3:$A$17))*(Guts!F38/100)</f>
        <v>0</v>
      </c>
      <c r="AL38" s="46">
        <f t="shared" si="13"/>
        <v>0</v>
      </c>
      <c r="AP38" s="46">
        <f t="shared" si="14"/>
        <v>0</v>
      </c>
      <c r="AQ38" s="48">
        <f t="shared" si="15"/>
        <v>0</v>
      </c>
      <c r="AR38" s="48" t="e">
        <f t="shared" ca="1" si="16"/>
        <v>#N/A</v>
      </c>
    </row>
    <row r="39" spans="1:44">
      <c r="A39" s="56" t="s">
        <v>94</v>
      </c>
      <c r="B39" s="52"/>
      <c r="C39" s="52"/>
      <c r="D39" s="6" t="e">
        <f t="array" ref="D39">LOOKUP(2,1/ISNUMBER('Double Analysis'!D:D),ROW('Double Analysis'!D:D))</f>
        <v>#N/A</v>
      </c>
      <c r="E39" s="6"/>
      <c r="F39" s="34">
        <v>37</v>
      </c>
      <c r="G39" s="46">
        <f t="shared" ca="1" si="0"/>
        <v>2960</v>
      </c>
      <c r="H39" s="34" t="e">
        <f t="shared" si="1"/>
        <v>#N/A</v>
      </c>
      <c r="J39" s="34" t="e">
        <f t="shared" ca="1" si="2"/>
        <v>#N/A</v>
      </c>
      <c r="K39" s="34" t="e">
        <f ca="1">IF($D$32=1,$B$48*J39+$C$48,IF($D$32=2,$B$48*J39^2+$C$48*J39+$D$48,IF($D$32=3,$B$48*J39^3+$C$48*J39^2+$D$48*J39+$E$48,IF($D$32=4,$B$48*J39^'Double Analysis'!$G$13,IF($D$32=5,EXP($C$48)*J39^$B$48,IF($D$32=6,EXP($C$48+J39*$B$48),NA()))))))</f>
        <v>#N/A</v>
      </c>
      <c r="L39" s="34" t="e">
        <f ca="1">IF($D$32=1,$B$54*J39+$C$54,IF($D$32=2,$B$54*J39^2+$C$54*J39+$D$54,IF($D$32=3,$B$54*J39^3+$C$54*J39^2+$D$54*J39+$E$54,IF($D$32=4,$B$54*J39^'Double Analysis'!$G$13,IF($D$32=5,EXP($C$54)*J39^$B$54,IF($D$32=6,EXP($C$54+J39*$B$54),NA()))))))</f>
        <v>#N/A</v>
      </c>
      <c r="N39" s="34" t="e">
        <f t="shared" ca="1" si="3"/>
        <v>#N/A</v>
      </c>
      <c r="O39" s="34" t="e">
        <f t="shared" ca="1" si="4"/>
        <v>#N/A</v>
      </c>
      <c r="P39" s="34" t="e">
        <f t="shared" si="5"/>
        <v>#N/A</v>
      </c>
      <c r="R39" s="34" t="str">
        <f t="shared" si="6"/>
        <v/>
      </c>
      <c r="Y39" s="34" t="str">
        <f t="shared" si="7"/>
        <v xml:space="preserve"> </v>
      </c>
      <c r="Z39" s="34" t="e">
        <f t="shared" ca="1" si="8"/>
        <v>#N/A</v>
      </c>
      <c r="AA39" s="34" t="e">
        <f t="array" aca="1" ref="AA39" ca="1">IF(ISNUMBER(Z39),INDEX(DA_y1data,MATCH(Z39,$Y$2:$Y$102,0)),NA())</f>
        <v>#N/A</v>
      </c>
      <c r="AB39" s="34" t="e">
        <f t="shared" si="9"/>
        <v>#N/A</v>
      </c>
      <c r="AC39" s="34" t="str">
        <f t="shared" si="10"/>
        <v xml:space="preserve"> </v>
      </c>
      <c r="AD39" s="34" t="e">
        <f t="shared" ca="1" si="11"/>
        <v>#N/A</v>
      </c>
      <c r="AE39" s="34" t="e">
        <f t="array" aca="1" ref="AE39" ca="1">IF(ISNUMBER(AD39),INDEX(DA_y2data,MATCH(AD39,$AC$2:$AC$102,0)),NA())</f>
        <v>#N/A</v>
      </c>
      <c r="AF39" s="34" t="e">
        <f t="shared" si="12"/>
        <v>#N/A</v>
      </c>
      <c r="AK39" s="46">
        <f>MIN('Manual Fitting'!$A$3:$A$32)+(MAX('Manual Fitting'!$A$3:$A$32)-MIN('Manual Fitting'!$A$3:$A$17))*(Guts!F39/100)</f>
        <v>0</v>
      </c>
      <c r="AL39" s="46">
        <f t="shared" si="13"/>
        <v>0</v>
      </c>
      <c r="AP39" s="46">
        <f t="shared" si="14"/>
        <v>0</v>
      </c>
      <c r="AQ39" s="48">
        <f t="shared" si="15"/>
        <v>0</v>
      </c>
      <c r="AR39" s="48" t="e">
        <f t="shared" ca="1" si="16"/>
        <v>#N/A</v>
      </c>
    </row>
    <row r="40" spans="1:44">
      <c r="A40" s="56" t="s">
        <v>95</v>
      </c>
      <c r="B40" s="52"/>
      <c r="C40" s="52"/>
      <c r="D40" s="6" t="e">
        <f t="array" ref="D40">LOOKUP(2,1/ISNUMBER('Double Analysis'!E:E),ROW('Double Analysis'!E:E))</f>
        <v>#N/A</v>
      </c>
      <c r="E40" s="6"/>
      <c r="F40" s="34">
        <v>38</v>
      </c>
      <c r="G40" s="46">
        <f t="shared" ca="1" si="0"/>
        <v>3040</v>
      </c>
      <c r="H40" s="34" t="e">
        <f t="shared" si="1"/>
        <v>#N/A</v>
      </c>
      <c r="J40" s="34" t="e">
        <f t="shared" ca="1" si="2"/>
        <v>#N/A</v>
      </c>
      <c r="K40" s="34" t="e">
        <f ca="1">IF($D$32=1,$B$48*J40+$C$48,IF($D$32=2,$B$48*J40^2+$C$48*J40+$D$48,IF($D$32=3,$B$48*J40^3+$C$48*J40^2+$D$48*J40+$E$48,IF($D$32=4,$B$48*J40^'Double Analysis'!$G$13,IF($D$32=5,EXP($C$48)*J40^$B$48,IF($D$32=6,EXP($C$48+J40*$B$48),NA()))))))</f>
        <v>#N/A</v>
      </c>
      <c r="L40" s="34" t="e">
        <f ca="1">IF($D$32=1,$B$54*J40+$C$54,IF($D$32=2,$B$54*J40^2+$C$54*J40+$D$54,IF($D$32=3,$B$54*J40^3+$C$54*J40^2+$D$54*J40+$E$54,IF($D$32=4,$B$54*J40^'Double Analysis'!$G$13,IF($D$32=5,EXP($C$54)*J40^$B$54,IF($D$32=6,EXP($C$54+J40*$B$54),NA()))))))</f>
        <v>#N/A</v>
      </c>
      <c r="N40" s="34" t="e">
        <f t="shared" ca="1" si="3"/>
        <v>#N/A</v>
      </c>
      <c r="O40" s="34" t="e">
        <f t="shared" ca="1" si="4"/>
        <v>#N/A</v>
      </c>
      <c r="P40" s="34" t="e">
        <f t="shared" si="5"/>
        <v>#N/A</v>
      </c>
      <c r="R40" s="34" t="str">
        <f t="shared" si="6"/>
        <v/>
      </c>
      <c r="Y40" s="34" t="str">
        <f t="shared" si="7"/>
        <v xml:space="preserve"> </v>
      </c>
      <c r="Z40" s="34" t="e">
        <f t="shared" ca="1" si="8"/>
        <v>#N/A</v>
      </c>
      <c r="AA40" s="34" t="e">
        <f t="array" aca="1" ref="AA40" ca="1">IF(ISNUMBER(Z40),INDEX(DA_y1data,MATCH(Z40,$Y$2:$Y$102,0)),NA())</f>
        <v>#N/A</v>
      </c>
      <c r="AB40" s="34" t="e">
        <f t="shared" si="9"/>
        <v>#N/A</v>
      </c>
      <c r="AC40" s="34" t="str">
        <f t="shared" si="10"/>
        <v xml:space="preserve"> </v>
      </c>
      <c r="AD40" s="34" t="e">
        <f t="shared" ca="1" si="11"/>
        <v>#N/A</v>
      </c>
      <c r="AE40" s="34" t="e">
        <f t="array" aca="1" ref="AE40" ca="1">IF(ISNUMBER(AD40),INDEX(DA_y2data,MATCH(AD40,$AC$2:$AC$102,0)),NA())</f>
        <v>#N/A</v>
      </c>
      <c r="AF40" s="34" t="e">
        <f t="shared" si="12"/>
        <v>#N/A</v>
      </c>
      <c r="AK40" s="46">
        <f>MIN('Manual Fitting'!$A$3:$A$32)+(MAX('Manual Fitting'!$A$3:$A$32)-MIN('Manual Fitting'!$A$3:$A$17))*(Guts!F40/100)</f>
        <v>0</v>
      </c>
      <c r="AL40" s="46">
        <f t="shared" si="13"/>
        <v>0</v>
      </c>
      <c r="AP40" s="46">
        <f t="shared" si="14"/>
        <v>0</v>
      </c>
      <c r="AQ40" s="48">
        <f t="shared" si="15"/>
        <v>0</v>
      </c>
      <c r="AR40" s="48" t="e">
        <f t="shared" ca="1" si="16"/>
        <v>#N/A</v>
      </c>
    </row>
    <row r="41" spans="1:44">
      <c r="A41" s="56" t="s">
        <v>96</v>
      </c>
      <c r="B41" s="52"/>
      <c r="C41" s="52"/>
      <c r="D41" s="6" t="e">
        <f>MIN(D39,D40)</f>
        <v>#N/A</v>
      </c>
      <c r="E41" s="6"/>
      <c r="F41" s="34">
        <v>39</v>
      </c>
      <c r="G41" s="46">
        <f t="shared" ca="1" si="0"/>
        <v>3120</v>
      </c>
      <c r="H41" s="34" t="e">
        <f t="shared" si="1"/>
        <v>#N/A</v>
      </c>
      <c r="J41" s="34" t="e">
        <f t="shared" ca="1" si="2"/>
        <v>#N/A</v>
      </c>
      <c r="K41" s="34" t="e">
        <f ca="1">IF($D$32=1,$B$48*J41+$C$48,IF($D$32=2,$B$48*J41^2+$C$48*J41+$D$48,IF($D$32=3,$B$48*J41^3+$C$48*J41^2+$D$48*J41+$E$48,IF($D$32=4,$B$48*J41^'Double Analysis'!$G$13,IF($D$32=5,EXP($C$48)*J41^$B$48,IF($D$32=6,EXP($C$48+J41*$B$48),NA()))))))</f>
        <v>#N/A</v>
      </c>
      <c r="L41" s="34" t="e">
        <f ca="1">IF($D$32=1,$B$54*J41+$C$54,IF($D$32=2,$B$54*J41^2+$C$54*J41+$D$54,IF($D$32=3,$B$54*J41^3+$C$54*J41^2+$D$54*J41+$E$54,IF($D$32=4,$B$54*J41^'Double Analysis'!$G$13,IF($D$32=5,EXP($C$54)*J41^$B$54,IF($D$32=6,EXP($C$54+J41*$B$54),NA()))))))</f>
        <v>#N/A</v>
      </c>
      <c r="N41" s="34" t="e">
        <f t="shared" ca="1" si="3"/>
        <v>#N/A</v>
      </c>
      <c r="O41" s="34" t="e">
        <f t="shared" ca="1" si="4"/>
        <v>#N/A</v>
      </c>
      <c r="P41" s="34" t="e">
        <f t="shared" si="5"/>
        <v>#N/A</v>
      </c>
      <c r="R41" s="34" t="str">
        <f t="shared" si="6"/>
        <v/>
      </c>
      <c r="Y41" s="34" t="str">
        <f t="shared" si="7"/>
        <v xml:space="preserve"> </v>
      </c>
      <c r="Z41" s="34" t="e">
        <f t="shared" ca="1" si="8"/>
        <v>#N/A</v>
      </c>
      <c r="AA41" s="34" t="e">
        <f t="array" aca="1" ref="AA41" ca="1">IF(ISNUMBER(Z41),INDEX(DA_y1data,MATCH(Z41,$Y$2:$Y$102,0)),NA())</f>
        <v>#N/A</v>
      </c>
      <c r="AB41" s="34" t="e">
        <f t="shared" si="9"/>
        <v>#N/A</v>
      </c>
      <c r="AC41" s="34" t="str">
        <f t="shared" si="10"/>
        <v xml:space="preserve"> </v>
      </c>
      <c r="AD41" s="34" t="e">
        <f t="shared" ca="1" si="11"/>
        <v>#N/A</v>
      </c>
      <c r="AE41" s="34" t="e">
        <f t="array" aca="1" ref="AE41" ca="1">IF(ISNUMBER(AD41),INDEX(DA_y2data,MATCH(AD41,$AC$2:$AC$102,0)),NA())</f>
        <v>#N/A</v>
      </c>
      <c r="AF41" s="34" t="e">
        <f t="shared" si="12"/>
        <v>#N/A</v>
      </c>
      <c r="AK41" s="46">
        <f>MIN('Manual Fitting'!$A$3:$A$32)+(MAX('Manual Fitting'!$A$3:$A$32)-MIN('Manual Fitting'!$A$3:$A$17))*(Guts!F41/100)</f>
        <v>0</v>
      </c>
      <c r="AL41" s="46">
        <f t="shared" si="13"/>
        <v>0</v>
      </c>
      <c r="AP41" s="46">
        <f t="shared" si="14"/>
        <v>0</v>
      </c>
      <c r="AQ41" s="48">
        <f t="shared" si="15"/>
        <v>0</v>
      </c>
      <c r="AR41" s="48" t="e">
        <f t="shared" ca="1" si="16"/>
        <v>#N/A</v>
      </c>
    </row>
    <row r="42" spans="1:44">
      <c r="A42" s="56" t="s">
        <v>97</v>
      </c>
      <c r="B42" s="52"/>
      <c r="C42" s="52"/>
      <c r="D42" s="6" t="e">
        <f t="array" ref="D42">MATCH(TRUE,ISNUMBER('Double Analysis'!$D:$D),0)</f>
        <v>#N/A</v>
      </c>
      <c r="E42" s="6"/>
      <c r="F42" s="34">
        <v>40</v>
      </c>
      <c r="G42" s="46">
        <f t="shared" ca="1" si="0"/>
        <v>3200</v>
      </c>
      <c r="H42" s="34" t="e">
        <f t="shared" si="1"/>
        <v>#N/A</v>
      </c>
      <c r="J42" s="34" t="e">
        <f t="shared" ca="1" si="2"/>
        <v>#N/A</v>
      </c>
      <c r="K42" s="34" t="e">
        <f ca="1">IF($D$32=1,$B$48*J42+$C$48,IF($D$32=2,$B$48*J42^2+$C$48*J42+$D$48,IF($D$32=3,$B$48*J42^3+$C$48*J42^2+$D$48*J42+$E$48,IF($D$32=4,$B$48*J42^'Double Analysis'!$G$13,IF($D$32=5,EXP($C$48)*J42^$B$48,IF($D$32=6,EXP($C$48+J42*$B$48),NA()))))))</f>
        <v>#N/A</v>
      </c>
      <c r="L42" s="34" t="e">
        <f ca="1">IF($D$32=1,$B$54*J42+$C$54,IF($D$32=2,$B$54*J42^2+$C$54*J42+$D$54,IF($D$32=3,$B$54*J42^3+$C$54*J42^2+$D$54*J42+$E$54,IF($D$32=4,$B$54*J42^'Double Analysis'!$G$13,IF($D$32=5,EXP($C$54)*J42^$B$54,IF($D$32=6,EXP($C$54+J42*$B$54),NA()))))))</f>
        <v>#N/A</v>
      </c>
      <c r="N42" s="34" t="e">
        <f t="shared" ca="1" si="3"/>
        <v>#N/A</v>
      </c>
      <c r="O42" s="34" t="e">
        <f t="shared" ca="1" si="4"/>
        <v>#N/A</v>
      </c>
      <c r="P42" s="34" t="e">
        <f t="shared" si="5"/>
        <v>#N/A</v>
      </c>
      <c r="R42" s="34" t="str">
        <f t="shared" si="6"/>
        <v/>
      </c>
      <c r="Y42" s="34" t="str">
        <f t="shared" si="7"/>
        <v xml:space="preserve"> </v>
      </c>
      <c r="Z42" s="34" t="e">
        <f t="shared" ca="1" si="8"/>
        <v>#N/A</v>
      </c>
      <c r="AA42" s="34" t="e">
        <f t="array" aca="1" ref="AA42" ca="1">IF(ISNUMBER(Z42),INDEX(DA_y1data,MATCH(Z42,$Y$2:$Y$102,0)),NA())</f>
        <v>#N/A</v>
      </c>
      <c r="AB42" s="34" t="e">
        <f t="shared" si="9"/>
        <v>#N/A</v>
      </c>
      <c r="AC42" s="34" t="str">
        <f t="shared" si="10"/>
        <v xml:space="preserve"> </v>
      </c>
      <c r="AD42" s="34" t="e">
        <f t="shared" ca="1" si="11"/>
        <v>#N/A</v>
      </c>
      <c r="AE42" s="34" t="e">
        <f t="array" aca="1" ref="AE42" ca="1">IF(ISNUMBER(AD42),INDEX(DA_y2data,MATCH(AD42,$AC$2:$AC$102,0)),NA())</f>
        <v>#N/A</v>
      </c>
      <c r="AF42" s="34" t="e">
        <f t="shared" si="12"/>
        <v>#N/A</v>
      </c>
      <c r="AK42" s="46">
        <f>MIN('Manual Fitting'!$A$3:$A$32)+(MAX('Manual Fitting'!$A$3:$A$32)-MIN('Manual Fitting'!$A$3:$A$17))*(Guts!F42/100)</f>
        <v>0</v>
      </c>
      <c r="AL42" s="46">
        <f t="shared" si="13"/>
        <v>0</v>
      </c>
      <c r="AP42" s="46">
        <f t="shared" si="14"/>
        <v>0</v>
      </c>
      <c r="AQ42" s="48">
        <f t="shared" si="15"/>
        <v>0</v>
      </c>
      <c r="AR42" s="48" t="e">
        <f t="shared" ca="1" si="16"/>
        <v>#N/A</v>
      </c>
    </row>
    <row r="43" spans="1:44">
      <c r="A43" s="56" t="s">
        <v>98</v>
      </c>
      <c r="B43" s="52"/>
      <c r="C43" s="52"/>
      <c r="D43" s="6" t="e">
        <f t="array" ref="D43">MATCH(TRUE,ISNUMBER('Double Analysis'!$E:$E),0)</f>
        <v>#N/A</v>
      </c>
      <c r="E43" s="6"/>
      <c r="F43" s="34">
        <v>41</v>
      </c>
      <c r="G43" s="46">
        <f t="shared" ca="1" si="0"/>
        <v>3280</v>
      </c>
      <c r="H43" s="34" t="e">
        <f t="shared" si="1"/>
        <v>#N/A</v>
      </c>
      <c r="J43" s="34" t="e">
        <f t="shared" ca="1" si="2"/>
        <v>#N/A</v>
      </c>
      <c r="K43" s="34" t="e">
        <f ca="1">IF($D$32=1,$B$48*J43+$C$48,IF($D$32=2,$B$48*J43^2+$C$48*J43+$D$48,IF($D$32=3,$B$48*J43^3+$C$48*J43^2+$D$48*J43+$E$48,IF($D$32=4,$B$48*J43^'Double Analysis'!$G$13,IF($D$32=5,EXP($C$48)*J43^$B$48,IF($D$32=6,EXP($C$48+J43*$B$48),NA()))))))</f>
        <v>#N/A</v>
      </c>
      <c r="L43" s="34" t="e">
        <f ca="1">IF($D$32=1,$B$54*J43+$C$54,IF($D$32=2,$B$54*J43^2+$C$54*J43+$D$54,IF($D$32=3,$B$54*J43^3+$C$54*J43^2+$D$54*J43+$E$54,IF($D$32=4,$B$54*J43^'Double Analysis'!$G$13,IF($D$32=5,EXP($C$54)*J43^$B$54,IF($D$32=6,EXP($C$54+J43*$B$54),NA()))))))</f>
        <v>#N/A</v>
      </c>
      <c r="N43" s="34" t="e">
        <f t="shared" ca="1" si="3"/>
        <v>#N/A</v>
      </c>
      <c r="O43" s="34" t="e">
        <f t="shared" ca="1" si="4"/>
        <v>#N/A</v>
      </c>
      <c r="P43" s="34" t="e">
        <f t="shared" si="5"/>
        <v>#N/A</v>
      </c>
      <c r="R43" s="34" t="str">
        <f t="shared" si="6"/>
        <v/>
      </c>
      <c r="Y43" s="34" t="str">
        <f t="shared" si="7"/>
        <v xml:space="preserve"> </v>
      </c>
      <c r="Z43" s="34" t="e">
        <f t="shared" ca="1" si="8"/>
        <v>#N/A</v>
      </c>
      <c r="AA43" s="34" t="e">
        <f t="array" aca="1" ref="AA43" ca="1">IF(ISNUMBER(Z43),INDEX(DA_y1data,MATCH(Z43,$Y$2:$Y$102,0)),NA())</f>
        <v>#N/A</v>
      </c>
      <c r="AB43" s="34" t="e">
        <f t="shared" si="9"/>
        <v>#N/A</v>
      </c>
      <c r="AC43" s="34" t="str">
        <f t="shared" si="10"/>
        <v xml:space="preserve"> </v>
      </c>
      <c r="AD43" s="34" t="e">
        <f t="shared" ca="1" si="11"/>
        <v>#N/A</v>
      </c>
      <c r="AE43" s="34" t="e">
        <f t="array" aca="1" ref="AE43" ca="1">IF(ISNUMBER(AD43),INDEX(DA_y2data,MATCH(AD43,$AC$2:$AC$102,0)),NA())</f>
        <v>#N/A</v>
      </c>
      <c r="AF43" s="34" t="e">
        <f t="shared" si="12"/>
        <v>#N/A</v>
      </c>
      <c r="AK43" s="46">
        <f>MIN('Manual Fitting'!$A$3:$A$32)+(MAX('Manual Fitting'!$A$3:$A$32)-MIN('Manual Fitting'!$A$3:$A$17))*(Guts!F43/100)</f>
        <v>0</v>
      </c>
      <c r="AL43" s="46">
        <f t="shared" si="13"/>
        <v>0</v>
      </c>
      <c r="AP43" s="46">
        <f t="shared" si="14"/>
        <v>0</v>
      </c>
      <c r="AQ43" s="48">
        <f t="shared" si="15"/>
        <v>0</v>
      </c>
      <c r="AR43" s="48" t="e">
        <f t="shared" ca="1" si="16"/>
        <v>#N/A</v>
      </c>
    </row>
    <row r="44" spans="1:44">
      <c r="A44" s="56" t="s">
        <v>99</v>
      </c>
      <c r="B44" s="52"/>
      <c r="C44" s="52"/>
      <c r="D44" s="6" t="e">
        <f>MAX(D42:D43)</f>
        <v>#N/A</v>
      </c>
      <c r="E44" s="6"/>
      <c r="F44" s="34">
        <v>42</v>
      </c>
      <c r="G44" s="46">
        <f t="shared" ca="1" si="0"/>
        <v>3360</v>
      </c>
      <c r="H44" s="34" t="e">
        <f t="shared" si="1"/>
        <v>#N/A</v>
      </c>
      <c r="J44" s="34" t="e">
        <f t="shared" ca="1" si="2"/>
        <v>#N/A</v>
      </c>
      <c r="K44" s="34" t="e">
        <f ca="1">IF($D$32=1,$B$48*J44+$C$48,IF($D$32=2,$B$48*J44^2+$C$48*J44+$D$48,IF($D$32=3,$B$48*J44^3+$C$48*J44^2+$D$48*J44+$E$48,IF($D$32=4,$B$48*J44^'Double Analysis'!$G$13,IF($D$32=5,EXP($C$48)*J44^$B$48,IF($D$32=6,EXP($C$48+J44*$B$48),NA()))))))</f>
        <v>#N/A</v>
      </c>
      <c r="L44" s="34" t="e">
        <f ca="1">IF($D$32=1,$B$54*J44+$C$54,IF($D$32=2,$B$54*J44^2+$C$54*J44+$D$54,IF($D$32=3,$B$54*J44^3+$C$54*J44^2+$D$54*J44+$E$54,IF($D$32=4,$B$54*J44^'Double Analysis'!$G$13,IF($D$32=5,EXP($C$54)*J44^$B$54,IF($D$32=6,EXP($C$54+J44*$B$54),NA()))))))</f>
        <v>#N/A</v>
      </c>
      <c r="N44" s="34" t="e">
        <f t="shared" ca="1" si="3"/>
        <v>#N/A</v>
      </c>
      <c r="O44" s="34" t="e">
        <f t="shared" ca="1" si="4"/>
        <v>#N/A</v>
      </c>
      <c r="P44" s="34" t="e">
        <f t="shared" si="5"/>
        <v>#N/A</v>
      </c>
      <c r="R44" s="34" t="str">
        <f t="shared" si="6"/>
        <v/>
      </c>
      <c r="Y44" s="34" t="str">
        <f t="shared" si="7"/>
        <v xml:space="preserve"> </v>
      </c>
      <c r="Z44" s="34" t="e">
        <f t="shared" ca="1" si="8"/>
        <v>#N/A</v>
      </c>
      <c r="AA44" s="34" t="e">
        <f t="array" aca="1" ref="AA44" ca="1">IF(ISNUMBER(Z44),INDEX(DA_y1data,MATCH(Z44,$Y$2:$Y$102,0)),NA())</f>
        <v>#N/A</v>
      </c>
      <c r="AB44" s="34" t="e">
        <f t="shared" si="9"/>
        <v>#N/A</v>
      </c>
      <c r="AC44" s="34" t="str">
        <f t="shared" si="10"/>
        <v xml:space="preserve"> </v>
      </c>
      <c r="AD44" s="34" t="e">
        <f t="shared" ca="1" si="11"/>
        <v>#N/A</v>
      </c>
      <c r="AE44" s="34" t="e">
        <f t="array" aca="1" ref="AE44" ca="1">IF(ISNUMBER(AD44),INDEX(DA_y2data,MATCH(AD44,$AC$2:$AC$102,0)),NA())</f>
        <v>#N/A</v>
      </c>
      <c r="AF44" s="34" t="e">
        <f t="shared" si="12"/>
        <v>#N/A</v>
      </c>
      <c r="AK44" s="46">
        <f>MIN('Manual Fitting'!$A$3:$A$32)+(MAX('Manual Fitting'!$A$3:$A$32)-MIN('Manual Fitting'!$A$3:$A$17))*(Guts!F44/100)</f>
        <v>0</v>
      </c>
      <c r="AL44" s="46">
        <f t="shared" si="13"/>
        <v>0</v>
      </c>
      <c r="AP44" s="46">
        <f t="shared" si="14"/>
        <v>0</v>
      </c>
      <c r="AQ44" s="48">
        <f t="shared" si="15"/>
        <v>0</v>
      </c>
      <c r="AR44" s="48" t="e">
        <f t="shared" ca="1" si="16"/>
        <v>#N/A</v>
      </c>
    </row>
    <row r="45" spans="1:44">
      <c r="A45" s="6"/>
      <c r="B45" s="6"/>
      <c r="C45" s="6"/>
      <c r="D45" s="6"/>
      <c r="E45" s="6"/>
      <c r="F45" s="34">
        <v>43</v>
      </c>
      <c r="G45" s="46">
        <f t="shared" ca="1" si="0"/>
        <v>3440</v>
      </c>
      <c r="H45" s="34" t="e">
        <f t="shared" si="1"/>
        <v>#N/A</v>
      </c>
      <c r="J45" s="34" t="e">
        <f t="shared" ca="1" si="2"/>
        <v>#N/A</v>
      </c>
      <c r="K45" s="34" t="e">
        <f ca="1">IF($D$32=1,$B$48*J45+$C$48,IF($D$32=2,$B$48*J45^2+$C$48*J45+$D$48,IF($D$32=3,$B$48*J45^3+$C$48*J45^2+$D$48*J45+$E$48,IF($D$32=4,$B$48*J45^'Double Analysis'!$G$13,IF($D$32=5,EXP($C$48)*J45^$B$48,IF($D$32=6,EXP($C$48+J45*$B$48),NA()))))))</f>
        <v>#N/A</v>
      </c>
      <c r="L45" s="34" t="e">
        <f ca="1">IF($D$32=1,$B$54*J45+$C$54,IF($D$32=2,$B$54*J45^2+$C$54*J45+$D$54,IF($D$32=3,$B$54*J45^3+$C$54*J45^2+$D$54*J45+$E$54,IF($D$32=4,$B$54*J45^'Double Analysis'!$G$13,IF($D$32=5,EXP($C$54)*J45^$B$54,IF($D$32=6,EXP($C$54+J45*$B$54),NA()))))))</f>
        <v>#N/A</v>
      </c>
      <c r="N45" s="34" t="e">
        <f t="shared" ca="1" si="3"/>
        <v>#N/A</v>
      </c>
      <c r="O45" s="34" t="e">
        <f t="shared" ca="1" si="4"/>
        <v>#N/A</v>
      </c>
      <c r="P45" s="34" t="e">
        <f t="shared" si="5"/>
        <v>#N/A</v>
      </c>
      <c r="R45" s="34" t="str">
        <f t="shared" si="6"/>
        <v/>
      </c>
      <c r="Y45" s="34" t="str">
        <f t="shared" si="7"/>
        <v xml:space="preserve"> </v>
      </c>
      <c r="Z45" s="34" t="e">
        <f t="shared" ca="1" si="8"/>
        <v>#N/A</v>
      </c>
      <c r="AA45" s="34" t="e">
        <f t="array" aca="1" ref="AA45" ca="1">IF(ISNUMBER(Z45),INDEX(DA_y1data,MATCH(Z45,$Y$2:$Y$102,0)),NA())</f>
        <v>#N/A</v>
      </c>
      <c r="AB45" s="34" t="e">
        <f t="shared" si="9"/>
        <v>#N/A</v>
      </c>
      <c r="AC45" s="34" t="str">
        <f t="shared" si="10"/>
        <v xml:space="preserve"> </v>
      </c>
      <c r="AD45" s="34" t="e">
        <f t="shared" ca="1" si="11"/>
        <v>#N/A</v>
      </c>
      <c r="AE45" s="34" t="e">
        <f t="array" aca="1" ref="AE45" ca="1">IF(ISNUMBER(AD45),INDEX(DA_y2data,MATCH(AD45,$AC$2:$AC$102,0)),NA())</f>
        <v>#N/A</v>
      </c>
      <c r="AF45" s="34" t="e">
        <f t="shared" si="12"/>
        <v>#N/A</v>
      </c>
      <c r="AK45" s="46">
        <f>MIN('Manual Fitting'!$A$3:$A$32)+(MAX('Manual Fitting'!$A$3:$A$32)-MIN('Manual Fitting'!$A$3:$A$17))*(Guts!F45/100)</f>
        <v>0</v>
      </c>
      <c r="AL45" s="46">
        <f t="shared" si="13"/>
        <v>0</v>
      </c>
      <c r="AP45" s="46">
        <f t="shared" si="14"/>
        <v>0</v>
      </c>
      <c r="AQ45" s="48">
        <f t="shared" si="15"/>
        <v>0</v>
      </c>
      <c r="AR45" s="48" t="e">
        <f t="shared" ca="1" si="16"/>
        <v>#N/A</v>
      </c>
    </row>
    <row r="46" spans="1:44">
      <c r="A46" s="6"/>
      <c r="B46" s="6"/>
      <c r="C46" s="6"/>
      <c r="D46" s="6"/>
      <c r="E46" s="6"/>
      <c r="F46" s="34">
        <v>44</v>
      </c>
      <c r="G46" s="46">
        <f t="shared" ca="1" si="0"/>
        <v>3520</v>
      </c>
      <c r="H46" s="34" t="e">
        <f t="shared" si="1"/>
        <v>#N/A</v>
      </c>
      <c r="J46" s="34" t="e">
        <f t="shared" ca="1" si="2"/>
        <v>#N/A</v>
      </c>
      <c r="K46" s="34" t="e">
        <f ca="1">IF($D$32=1,$B$48*J46+$C$48,IF($D$32=2,$B$48*J46^2+$C$48*J46+$D$48,IF($D$32=3,$B$48*J46^3+$C$48*J46^2+$D$48*J46+$E$48,IF($D$32=4,$B$48*J46^'Double Analysis'!$G$13,IF($D$32=5,EXP($C$48)*J46^$B$48,IF($D$32=6,EXP($C$48+J46*$B$48),NA()))))))</f>
        <v>#N/A</v>
      </c>
      <c r="L46" s="34" t="e">
        <f ca="1">IF($D$32=1,$B$54*J46+$C$54,IF($D$32=2,$B$54*J46^2+$C$54*J46+$D$54,IF($D$32=3,$B$54*J46^3+$C$54*J46^2+$D$54*J46+$E$54,IF($D$32=4,$B$54*J46^'Double Analysis'!$G$13,IF($D$32=5,EXP($C$54)*J46^$B$54,IF($D$32=6,EXP($C$54+J46*$B$54),NA()))))))</f>
        <v>#N/A</v>
      </c>
      <c r="N46" s="34" t="e">
        <f t="shared" ca="1" si="3"/>
        <v>#N/A</v>
      </c>
      <c r="O46" s="34" t="e">
        <f t="shared" ca="1" si="4"/>
        <v>#N/A</v>
      </c>
      <c r="P46" s="34" t="e">
        <f t="shared" si="5"/>
        <v>#N/A</v>
      </c>
      <c r="R46" s="34" t="str">
        <f t="shared" si="6"/>
        <v/>
      </c>
      <c r="Y46" s="34" t="str">
        <f t="shared" si="7"/>
        <v xml:space="preserve"> </v>
      </c>
      <c r="Z46" s="34" t="e">
        <f t="shared" ca="1" si="8"/>
        <v>#N/A</v>
      </c>
      <c r="AA46" s="34" t="e">
        <f t="array" aca="1" ref="AA46" ca="1">IF(ISNUMBER(Z46),INDEX(DA_y1data,MATCH(Z46,$Y$2:$Y$102,0)),NA())</f>
        <v>#N/A</v>
      </c>
      <c r="AB46" s="34" t="e">
        <f t="shared" si="9"/>
        <v>#N/A</v>
      </c>
      <c r="AC46" s="34" t="str">
        <f t="shared" si="10"/>
        <v xml:space="preserve"> </v>
      </c>
      <c r="AD46" s="34" t="e">
        <f t="shared" ca="1" si="11"/>
        <v>#N/A</v>
      </c>
      <c r="AE46" s="34" t="e">
        <f t="array" aca="1" ref="AE46" ca="1">IF(ISNUMBER(AD46),INDEX(DA_y2data,MATCH(AD46,$AC$2:$AC$102,0)),NA())</f>
        <v>#N/A</v>
      </c>
      <c r="AF46" s="34" t="e">
        <f t="shared" si="12"/>
        <v>#N/A</v>
      </c>
      <c r="AK46" s="46">
        <f>MIN('Manual Fitting'!$A$3:$A$32)+(MAX('Manual Fitting'!$A$3:$A$32)-MIN('Manual Fitting'!$A$3:$A$17))*(Guts!F46/100)</f>
        <v>0</v>
      </c>
      <c r="AL46" s="46">
        <f t="shared" si="13"/>
        <v>0</v>
      </c>
      <c r="AP46" s="46">
        <f t="shared" si="14"/>
        <v>0</v>
      </c>
      <c r="AQ46" s="48">
        <f t="shared" si="15"/>
        <v>0</v>
      </c>
      <c r="AR46" s="48" t="e">
        <f t="shared" ca="1" si="16"/>
        <v>#N/A</v>
      </c>
    </row>
    <row r="47" spans="1:44">
      <c r="A47" s="6" t="s">
        <v>100</v>
      </c>
      <c r="B47" s="6"/>
      <c r="C47" s="6"/>
      <c r="D47" s="6"/>
      <c r="E47" s="6"/>
      <c r="F47" s="34">
        <v>45</v>
      </c>
      <c r="G47" s="46">
        <f t="shared" ca="1" si="0"/>
        <v>3600</v>
      </c>
      <c r="H47" s="34" t="e">
        <f t="shared" si="1"/>
        <v>#N/A</v>
      </c>
      <c r="J47" s="34" t="e">
        <f t="shared" ca="1" si="2"/>
        <v>#N/A</v>
      </c>
      <c r="K47" s="34" t="e">
        <f ca="1">IF($D$32=1,$B$48*J47+$C$48,IF($D$32=2,$B$48*J47^2+$C$48*J47+$D$48,IF($D$32=3,$B$48*J47^3+$C$48*J47^2+$D$48*J47+$E$48,IF($D$32=4,$B$48*J47^'Double Analysis'!$G$13,IF($D$32=5,EXP($C$48)*J47^$B$48,IF($D$32=6,EXP($C$48+J47*$B$48),NA()))))))</f>
        <v>#N/A</v>
      </c>
      <c r="L47" s="34" t="e">
        <f ca="1">IF($D$32=1,$B$54*J47+$C$54,IF($D$32=2,$B$54*J47^2+$C$54*J47+$D$54,IF($D$32=3,$B$54*J47^3+$C$54*J47^2+$D$54*J47+$E$54,IF($D$32=4,$B$54*J47^'Double Analysis'!$G$13,IF($D$32=5,EXP($C$54)*J47^$B$54,IF($D$32=6,EXP($C$54+J47*$B$54),NA()))))))</f>
        <v>#N/A</v>
      </c>
      <c r="N47" s="34" t="e">
        <f t="shared" ca="1" si="3"/>
        <v>#N/A</v>
      </c>
      <c r="O47" s="34" t="e">
        <f t="shared" ca="1" si="4"/>
        <v>#N/A</v>
      </c>
      <c r="P47" s="34" t="e">
        <f t="shared" si="5"/>
        <v>#N/A</v>
      </c>
      <c r="R47" s="34" t="str">
        <f t="shared" si="6"/>
        <v/>
      </c>
      <c r="Y47" s="34" t="str">
        <f t="shared" si="7"/>
        <v xml:space="preserve"> </v>
      </c>
      <c r="Z47" s="34" t="e">
        <f t="shared" ca="1" si="8"/>
        <v>#N/A</v>
      </c>
      <c r="AA47" s="34" t="e">
        <f t="array" aca="1" ref="AA47" ca="1">IF(ISNUMBER(Z47),INDEX(DA_y1data,MATCH(Z47,$Y$2:$Y$102,0)),NA())</f>
        <v>#N/A</v>
      </c>
      <c r="AB47" s="34" t="e">
        <f t="shared" si="9"/>
        <v>#N/A</v>
      </c>
      <c r="AC47" s="34" t="str">
        <f t="shared" si="10"/>
        <v xml:space="preserve"> </v>
      </c>
      <c r="AD47" s="34" t="e">
        <f t="shared" ca="1" si="11"/>
        <v>#N/A</v>
      </c>
      <c r="AE47" s="34" t="e">
        <f t="array" aca="1" ref="AE47" ca="1">IF(ISNUMBER(AD47),INDEX(DA_y2data,MATCH(AD47,$AC$2:$AC$102,0)),NA())</f>
        <v>#N/A</v>
      </c>
      <c r="AF47" s="34" t="e">
        <f t="shared" si="12"/>
        <v>#N/A</v>
      </c>
      <c r="AK47" s="46">
        <f>MIN('Manual Fitting'!$A$3:$A$32)+(MAX('Manual Fitting'!$A$3:$A$32)-MIN('Manual Fitting'!$A$3:$A$17))*(Guts!F47/100)</f>
        <v>0</v>
      </c>
      <c r="AL47" s="46">
        <f t="shared" si="13"/>
        <v>0</v>
      </c>
      <c r="AP47" s="46">
        <f t="shared" si="14"/>
        <v>0</v>
      </c>
      <c r="AQ47" s="48">
        <f t="shared" si="15"/>
        <v>0</v>
      </c>
      <c r="AR47" s="48" t="e">
        <f t="shared" ca="1" si="16"/>
        <v>#N/A</v>
      </c>
    </row>
    <row r="48" spans="1:44">
      <c r="A48" s="6" t="s">
        <v>71</v>
      </c>
      <c r="B48" s="6" t="e">
        <f t="array" aca="1" ref="B48" ca="1">IF(D32=1,LINEST(DA_y1data,DA_x1data,1,1),IF(D32=2,LINEST(DA_y1data,DA_x1data^{1,2},1,1),IF(D32=3,LINEST(DA_y1data,DA_x1data^{1,2,3},1,1),IF(D32=4,LINEST(DA_y1data,DA_x1data^('Double Analysis'!G13),0,1),IF(D32=5,LINEST(LN(DA_y1data),LN(DA_x1data),1,1),IF(D32=6,LINEST(LN(DA_y1data),DA_x1data,1,1),NA()))))))</f>
        <v>#N/A</v>
      </c>
      <c r="C48" s="6"/>
      <c r="D48" s="6"/>
      <c r="E48" s="6"/>
      <c r="F48" s="34">
        <v>46</v>
      </c>
      <c r="G48" s="46">
        <f t="shared" ca="1" si="0"/>
        <v>3680</v>
      </c>
      <c r="H48" s="34" t="e">
        <f t="shared" si="1"/>
        <v>#N/A</v>
      </c>
      <c r="J48" s="34" t="e">
        <f t="shared" ca="1" si="2"/>
        <v>#N/A</v>
      </c>
      <c r="K48" s="34" t="e">
        <f ca="1">IF($D$32=1,$B$48*J48+$C$48,IF($D$32=2,$B$48*J48^2+$C$48*J48+$D$48,IF($D$32=3,$B$48*J48^3+$C$48*J48^2+$D$48*J48+$E$48,IF($D$32=4,$B$48*J48^'Double Analysis'!$G$13,IF($D$32=5,EXP($C$48)*J48^$B$48,IF($D$32=6,EXP($C$48+J48*$B$48),NA()))))))</f>
        <v>#N/A</v>
      </c>
      <c r="L48" s="34" t="e">
        <f ca="1">IF($D$32=1,$B$54*J48+$C$54,IF($D$32=2,$B$54*J48^2+$C$54*J48+$D$54,IF($D$32=3,$B$54*J48^3+$C$54*J48^2+$D$54*J48+$E$54,IF($D$32=4,$B$54*J48^'Double Analysis'!$G$13,IF($D$32=5,EXP($C$54)*J48^$B$54,IF($D$32=6,EXP($C$54+J48*$B$54),NA()))))))</f>
        <v>#N/A</v>
      </c>
      <c r="N48" s="34" t="e">
        <f t="shared" ca="1" si="3"/>
        <v>#N/A</v>
      </c>
      <c r="O48" s="34" t="e">
        <f t="shared" ca="1" si="4"/>
        <v>#N/A</v>
      </c>
      <c r="P48" s="34" t="e">
        <f t="shared" si="5"/>
        <v>#N/A</v>
      </c>
      <c r="R48" s="34" t="str">
        <f t="shared" si="6"/>
        <v/>
      </c>
      <c r="Y48" s="34" t="str">
        <f t="shared" si="7"/>
        <v xml:space="preserve"> </v>
      </c>
      <c r="Z48" s="34" t="e">
        <f t="shared" ca="1" si="8"/>
        <v>#N/A</v>
      </c>
      <c r="AA48" s="34" t="e">
        <f t="array" aca="1" ref="AA48" ca="1">IF(ISNUMBER(Z48),INDEX(DA_y1data,MATCH(Z48,$Y$2:$Y$102,0)),NA())</f>
        <v>#N/A</v>
      </c>
      <c r="AB48" s="34" t="e">
        <f t="shared" si="9"/>
        <v>#N/A</v>
      </c>
      <c r="AC48" s="34" t="str">
        <f t="shared" si="10"/>
        <v xml:space="preserve"> </v>
      </c>
      <c r="AD48" s="34" t="e">
        <f t="shared" ca="1" si="11"/>
        <v>#N/A</v>
      </c>
      <c r="AE48" s="34" t="e">
        <f t="array" aca="1" ref="AE48" ca="1">IF(ISNUMBER(AD48),INDEX(DA_y2data,MATCH(AD48,$AC$2:$AC$102,0)),NA())</f>
        <v>#N/A</v>
      </c>
      <c r="AF48" s="34" t="e">
        <f t="shared" si="12"/>
        <v>#N/A</v>
      </c>
      <c r="AK48" s="46">
        <f>MIN('Manual Fitting'!$A$3:$A$32)+(MAX('Manual Fitting'!$A$3:$A$32)-MIN('Manual Fitting'!$A$3:$A$17))*(Guts!F48/100)</f>
        <v>0</v>
      </c>
      <c r="AL48" s="46">
        <f t="shared" si="13"/>
        <v>0</v>
      </c>
      <c r="AP48" s="46">
        <f t="shared" si="14"/>
        <v>0</v>
      </c>
      <c r="AQ48" s="48">
        <f t="shared" si="15"/>
        <v>0</v>
      </c>
      <c r="AR48" s="48" t="e">
        <f t="shared" ca="1" si="16"/>
        <v>#N/A</v>
      </c>
    </row>
    <row r="49" spans="1:44">
      <c r="A49" s="6" t="s">
        <v>72</v>
      </c>
      <c r="B49" s="6"/>
      <c r="C49" s="6"/>
      <c r="D49" s="6"/>
      <c r="E49" s="6"/>
      <c r="F49" s="34">
        <v>47</v>
      </c>
      <c r="G49" s="46">
        <f t="shared" ca="1" si="0"/>
        <v>3760</v>
      </c>
      <c r="H49" s="34" t="e">
        <f t="shared" si="1"/>
        <v>#N/A</v>
      </c>
      <c r="J49" s="34" t="e">
        <f t="shared" ca="1" si="2"/>
        <v>#N/A</v>
      </c>
      <c r="K49" s="34" t="e">
        <f ca="1">IF($D$32=1,$B$48*J49+$C$48,IF($D$32=2,$B$48*J49^2+$C$48*J49+$D$48,IF($D$32=3,$B$48*J49^3+$C$48*J49^2+$D$48*J49+$E$48,IF($D$32=4,$B$48*J49^'Double Analysis'!$G$13,IF($D$32=5,EXP($C$48)*J49^$B$48,IF($D$32=6,EXP($C$48+J49*$B$48),NA()))))))</f>
        <v>#N/A</v>
      </c>
      <c r="L49" s="34" t="e">
        <f ca="1">IF($D$32=1,$B$54*J49+$C$54,IF($D$32=2,$B$54*J49^2+$C$54*J49+$D$54,IF($D$32=3,$B$54*J49^3+$C$54*J49^2+$D$54*J49+$E$54,IF($D$32=4,$B$54*J49^'Double Analysis'!$G$13,IF($D$32=5,EXP($C$54)*J49^$B$54,IF($D$32=6,EXP($C$54+J49*$B$54),NA()))))))</f>
        <v>#N/A</v>
      </c>
      <c r="N49" s="34" t="e">
        <f t="shared" ca="1" si="3"/>
        <v>#N/A</v>
      </c>
      <c r="O49" s="34" t="e">
        <f t="shared" ca="1" si="4"/>
        <v>#N/A</v>
      </c>
      <c r="P49" s="34" t="e">
        <f t="shared" si="5"/>
        <v>#N/A</v>
      </c>
      <c r="R49" s="34" t="str">
        <f t="shared" si="6"/>
        <v/>
      </c>
      <c r="Y49" s="34" t="str">
        <f t="shared" si="7"/>
        <v xml:space="preserve"> </v>
      </c>
      <c r="Z49" s="34" t="e">
        <f t="shared" ca="1" si="8"/>
        <v>#N/A</v>
      </c>
      <c r="AA49" s="34" t="e">
        <f t="array" aca="1" ref="AA49" ca="1">IF(ISNUMBER(Z49),INDEX(DA_y1data,MATCH(Z49,$Y$2:$Y$102,0)),NA())</f>
        <v>#N/A</v>
      </c>
      <c r="AB49" s="34" t="e">
        <f t="shared" si="9"/>
        <v>#N/A</v>
      </c>
      <c r="AC49" s="34" t="str">
        <f t="shared" si="10"/>
        <v xml:space="preserve"> </v>
      </c>
      <c r="AD49" s="34" t="e">
        <f t="shared" ca="1" si="11"/>
        <v>#N/A</v>
      </c>
      <c r="AE49" s="34" t="e">
        <f t="array" aca="1" ref="AE49" ca="1">IF(ISNUMBER(AD49),INDEX(DA_y2data,MATCH(AD49,$AC$2:$AC$102,0)),NA())</f>
        <v>#N/A</v>
      </c>
      <c r="AF49" s="34" t="e">
        <f t="shared" si="12"/>
        <v>#N/A</v>
      </c>
      <c r="AK49" s="46">
        <f>MIN('Manual Fitting'!$A$3:$A$32)+(MAX('Manual Fitting'!$A$3:$A$32)-MIN('Manual Fitting'!$A$3:$A$17))*(Guts!F49/100)</f>
        <v>0</v>
      </c>
      <c r="AL49" s="46">
        <f t="shared" si="13"/>
        <v>0</v>
      </c>
      <c r="AP49" s="46">
        <f t="shared" si="14"/>
        <v>0</v>
      </c>
      <c r="AQ49" s="48">
        <f t="shared" si="15"/>
        <v>0</v>
      </c>
      <c r="AR49" s="48" t="e">
        <f t="shared" ca="1" si="16"/>
        <v>#N/A</v>
      </c>
    </row>
    <row r="50" spans="1:44">
      <c r="A50" s="6" t="s">
        <v>73</v>
      </c>
      <c r="B50" s="6"/>
      <c r="C50" s="6"/>
      <c r="D50" s="6"/>
      <c r="E50" s="6"/>
      <c r="F50" s="34">
        <v>48</v>
      </c>
      <c r="G50" s="46">
        <f t="shared" ca="1" si="0"/>
        <v>3840</v>
      </c>
      <c r="H50" s="34" t="e">
        <f t="shared" si="1"/>
        <v>#N/A</v>
      </c>
      <c r="J50" s="34" t="e">
        <f t="shared" ca="1" si="2"/>
        <v>#N/A</v>
      </c>
      <c r="K50" s="34" t="e">
        <f ca="1">IF($D$32=1,$B$48*J50+$C$48,IF($D$32=2,$B$48*J50^2+$C$48*J50+$D$48,IF($D$32=3,$B$48*J50^3+$C$48*J50^2+$D$48*J50+$E$48,IF($D$32=4,$B$48*J50^'Double Analysis'!$G$13,IF($D$32=5,EXP($C$48)*J50^$B$48,IF($D$32=6,EXP($C$48+J50*$B$48),NA()))))))</f>
        <v>#N/A</v>
      </c>
      <c r="L50" s="34" t="e">
        <f ca="1">IF($D$32=1,$B$54*J50+$C$54,IF($D$32=2,$B$54*J50^2+$C$54*J50+$D$54,IF($D$32=3,$B$54*J50^3+$C$54*J50^2+$D$54*J50+$E$54,IF($D$32=4,$B$54*J50^'Double Analysis'!$G$13,IF($D$32=5,EXP($C$54)*J50^$B$54,IF($D$32=6,EXP($C$54+J50*$B$54),NA()))))))</f>
        <v>#N/A</v>
      </c>
      <c r="N50" s="34" t="e">
        <f t="shared" ca="1" si="3"/>
        <v>#N/A</v>
      </c>
      <c r="O50" s="34" t="e">
        <f t="shared" ca="1" si="4"/>
        <v>#N/A</v>
      </c>
      <c r="P50" s="34" t="e">
        <f t="shared" si="5"/>
        <v>#N/A</v>
      </c>
      <c r="R50" s="34" t="str">
        <f t="shared" si="6"/>
        <v/>
      </c>
      <c r="Y50" s="34" t="str">
        <f t="shared" si="7"/>
        <v xml:space="preserve"> </v>
      </c>
      <c r="Z50" s="34" t="e">
        <f t="shared" ca="1" si="8"/>
        <v>#N/A</v>
      </c>
      <c r="AA50" s="34" t="e">
        <f t="array" aca="1" ref="AA50" ca="1">IF(ISNUMBER(Z50),INDEX(DA_y1data,MATCH(Z50,$Y$2:$Y$102,0)),NA())</f>
        <v>#N/A</v>
      </c>
      <c r="AB50" s="34" t="e">
        <f t="shared" si="9"/>
        <v>#N/A</v>
      </c>
      <c r="AC50" s="34" t="str">
        <f t="shared" si="10"/>
        <v xml:space="preserve"> </v>
      </c>
      <c r="AD50" s="34" t="e">
        <f t="shared" ca="1" si="11"/>
        <v>#N/A</v>
      </c>
      <c r="AE50" s="34" t="e">
        <f t="array" aca="1" ref="AE50" ca="1">IF(ISNUMBER(AD50),INDEX(DA_y2data,MATCH(AD50,$AC$2:$AC$102,0)),NA())</f>
        <v>#N/A</v>
      </c>
      <c r="AF50" s="34" t="e">
        <f t="shared" si="12"/>
        <v>#N/A</v>
      </c>
      <c r="AK50" s="46">
        <f>MIN('Manual Fitting'!$A$3:$A$32)+(MAX('Manual Fitting'!$A$3:$A$32)-MIN('Manual Fitting'!$A$3:$A$17))*(Guts!F50/100)</f>
        <v>0</v>
      </c>
      <c r="AL50" s="46">
        <f t="shared" si="13"/>
        <v>0</v>
      </c>
      <c r="AP50" s="46">
        <f t="shared" si="14"/>
        <v>0</v>
      </c>
      <c r="AQ50" s="48">
        <f t="shared" si="15"/>
        <v>0</v>
      </c>
      <c r="AR50" s="48" t="e">
        <f t="shared" ca="1" si="16"/>
        <v>#N/A</v>
      </c>
    </row>
    <row r="51" spans="1:44">
      <c r="A51" s="6"/>
      <c r="B51" s="6"/>
      <c r="C51" s="6"/>
      <c r="D51" s="6"/>
      <c r="E51" s="6"/>
      <c r="F51" s="34">
        <v>49</v>
      </c>
      <c r="G51" s="46">
        <f t="shared" ca="1" si="0"/>
        <v>3920</v>
      </c>
      <c r="H51" s="34" t="e">
        <f t="shared" si="1"/>
        <v>#N/A</v>
      </c>
      <c r="J51" s="34" t="e">
        <f t="shared" ca="1" si="2"/>
        <v>#N/A</v>
      </c>
      <c r="K51" s="34" t="e">
        <f ca="1">IF($D$32=1,$B$48*J51+$C$48,IF($D$32=2,$B$48*J51^2+$C$48*J51+$D$48,IF($D$32=3,$B$48*J51^3+$C$48*J51^2+$D$48*J51+$E$48,IF($D$32=4,$B$48*J51^'Double Analysis'!$G$13,IF($D$32=5,EXP($C$48)*J51^$B$48,IF($D$32=6,EXP($C$48+J51*$B$48),NA()))))))</f>
        <v>#N/A</v>
      </c>
      <c r="L51" s="34" t="e">
        <f ca="1">IF($D$32=1,$B$54*J51+$C$54,IF($D$32=2,$B$54*J51^2+$C$54*J51+$D$54,IF($D$32=3,$B$54*J51^3+$C$54*J51^2+$D$54*J51+$E$54,IF($D$32=4,$B$54*J51^'Double Analysis'!$G$13,IF($D$32=5,EXP($C$54)*J51^$B$54,IF($D$32=6,EXP($C$54+J51*$B$54),NA()))))))</f>
        <v>#N/A</v>
      </c>
      <c r="N51" s="34" t="e">
        <f t="shared" ca="1" si="3"/>
        <v>#N/A</v>
      </c>
      <c r="O51" s="34" t="e">
        <f t="shared" ca="1" si="4"/>
        <v>#N/A</v>
      </c>
      <c r="P51" s="34" t="e">
        <f t="shared" si="5"/>
        <v>#N/A</v>
      </c>
      <c r="R51" s="34" t="str">
        <f t="shared" si="6"/>
        <v/>
      </c>
      <c r="Y51" s="34" t="str">
        <f t="shared" si="7"/>
        <v xml:space="preserve"> </v>
      </c>
      <c r="Z51" s="34" t="e">
        <f t="shared" ca="1" si="8"/>
        <v>#N/A</v>
      </c>
      <c r="AA51" s="34" t="e">
        <f t="array" aca="1" ref="AA51" ca="1">IF(ISNUMBER(Z51),INDEX(DA_y1data,MATCH(Z51,$Y$2:$Y$102,0)),NA())</f>
        <v>#N/A</v>
      </c>
      <c r="AB51" s="34" t="e">
        <f t="shared" si="9"/>
        <v>#N/A</v>
      </c>
      <c r="AC51" s="34" t="str">
        <f t="shared" si="10"/>
        <v xml:space="preserve"> </v>
      </c>
      <c r="AD51" s="34" t="e">
        <f t="shared" ca="1" si="11"/>
        <v>#N/A</v>
      </c>
      <c r="AE51" s="34" t="e">
        <f t="array" aca="1" ref="AE51" ca="1">IF(ISNUMBER(AD51),INDEX(DA_y2data,MATCH(AD51,$AC$2:$AC$102,0)),NA())</f>
        <v>#N/A</v>
      </c>
      <c r="AF51" s="34" t="e">
        <f t="shared" si="12"/>
        <v>#N/A</v>
      </c>
      <c r="AK51" s="46">
        <f>MIN('Manual Fitting'!$A$3:$A$32)+(MAX('Manual Fitting'!$A$3:$A$32)-MIN('Manual Fitting'!$A$3:$A$17))*(Guts!F51/100)</f>
        <v>0</v>
      </c>
      <c r="AL51" s="46">
        <f t="shared" si="13"/>
        <v>0</v>
      </c>
      <c r="AP51" s="46">
        <f t="shared" si="14"/>
        <v>0</v>
      </c>
      <c r="AQ51" s="48">
        <f t="shared" si="15"/>
        <v>0</v>
      </c>
      <c r="AR51" s="48" t="e">
        <f t="shared" ca="1" si="16"/>
        <v>#N/A</v>
      </c>
    </row>
    <row r="52" spans="1:44">
      <c r="A52" s="6"/>
      <c r="B52" s="6"/>
      <c r="C52" s="6"/>
      <c r="D52" s="6"/>
      <c r="E52" s="6"/>
      <c r="F52" s="34">
        <v>50</v>
      </c>
      <c r="G52" s="46">
        <f t="shared" ca="1" si="0"/>
        <v>4000</v>
      </c>
      <c r="H52" s="34" t="e">
        <f t="shared" si="1"/>
        <v>#N/A</v>
      </c>
      <c r="J52" s="34" t="e">
        <f t="shared" ca="1" si="2"/>
        <v>#N/A</v>
      </c>
      <c r="K52" s="34" t="e">
        <f ca="1">IF($D$32=1,$B$48*J52+$C$48,IF($D$32=2,$B$48*J52^2+$C$48*J52+$D$48,IF($D$32=3,$B$48*J52^3+$C$48*J52^2+$D$48*J52+$E$48,IF($D$32=4,$B$48*J52^'Double Analysis'!$G$13,IF($D$32=5,EXP($C$48)*J52^$B$48,IF($D$32=6,EXP($C$48+J52*$B$48),NA()))))))</f>
        <v>#N/A</v>
      </c>
      <c r="L52" s="34" t="e">
        <f ca="1">IF($D$32=1,$B$54*J52+$C$54,IF($D$32=2,$B$54*J52^2+$C$54*J52+$D$54,IF($D$32=3,$B$54*J52^3+$C$54*J52^2+$D$54*J52+$E$54,IF($D$32=4,$B$54*J52^'Double Analysis'!$G$13,IF($D$32=5,EXP($C$54)*J52^$B$54,IF($D$32=6,EXP($C$54+J52*$B$54),NA()))))))</f>
        <v>#N/A</v>
      </c>
      <c r="N52" s="34" t="e">
        <f t="shared" ca="1" si="3"/>
        <v>#N/A</v>
      </c>
      <c r="O52" s="34" t="e">
        <f t="shared" ca="1" si="4"/>
        <v>#N/A</v>
      </c>
      <c r="P52" s="34" t="e">
        <f t="shared" si="5"/>
        <v>#N/A</v>
      </c>
      <c r="R52" s="34" t="str">
        <f t="shared" si="6"/>
        <v/>
      </c>
      <c r="Y52" s="34" t="str">
        <f t="shared" si="7"/>
        <v xml:space="preserve"> </v>
      </c>
      <c r="Z52" s="34" t="e">
        <f t="shared" ca="1" si="8"/>
        <v>#N/A</v>
      </c>
      <c r="AA52" s="34" t="e">
        <f t="array" aca="1" ref="AA52" ca="1">IF(ISNUMBER(Z52),INDEX(DA_y1data,MATCH(Z52,$Y$2:$Y$102,0)),NA())</f>
        <v>#N/A</v>
      </c>
      <c r="AB52" s="34" t="e">
        <f t="shared" si="9"/>
        <v>#N/A</v>
      </c>
      <c r="AC52" s="34" t="str">
        <f t="shared" si="10"/>
        <v xml:space="preserve"> </v>
      </c>
      <c r="AD52" s="34" t="e">
        <f t="shared" ca="1" si="11"/>
        <v>#N/A</v>
      </c>
      <c r="AE52" s="34" t="e">
        <f t="array" aca="1" ref="AE52" ca="1">IF(ISNUMBER(AD52),INDEX(DA_y2data,MATCH(AD52,$AC$2:$AC$102,0)),NA())</f>
        <v>#N/A</v>
      </c>
      <c r="AF52" s="34" t="e">
        <f t="shared" si="12"/>
        <v>#N/A</v>
      </c>
      <c r="AK52" s="46">
        <f>MIN('Manual Fitting'!$A$3:$A$32)+(MAX('Manual Fitting'!$A$3:$A$32)-MIN('Manual Fitting'!$A$3:$A$17))*(Guts!F52/100)</f>
        <v>0</v>
      </c>
      <c r="AL52" s="46">
        <f t="shared" si="13"/>
        <v>0</v>
      </c>
      <c r="AP52" s="46">
        <f t="shared" si="14"/>
        <v>0</v>
      </c>
      <c r="AQ52" s="48">
        <f t="shared" si="15"/>
        <v>0</v>
      </c>
      <c r="AR52" s="48" t="e">
        <f t="shared" ca="1" si="16"/>
        <v>#N/A</v>
      </c>
    </row>
    <row r="53" spans="1:44">
      <c r="A53" s="6" t="s">
        <v>101</v>
      </c>
      <c r="B53" s="6"/>
      <c r="C53" s="6"/>
      <c r="D53" s="6"/>
      <c r="E53" s="6"/>
      <c r="F53" s="34">
        <v>51</v>
      </c>
      <c r="G53" s="46">
        <f t="shared" ca="1" si="0"/>
        <v>4080</v>
      </c>
      <c r="H53" s="34" t="e">
        <f t="shared" si="1"/>
        <v>#N/A</v>
      </c>
      <c r="J53" s="34" t="e">
        <f t="shared" ca="1" si="2"/>
        <v>#N/A</v>
      </c>
      <c r="K53" s="34" t="e">
        <f ca="1">IF($D$32=1,$B$48*J53+$C$48,IF($D$32=2,$B$48*J53^2+$C$48*J53+$D$48,IF($D$32=3,$B$48*J53^3+$C$48*J53^2+$D$48*J53+$E$48,IF($D$32=4,$B$48*J53^'Double Analysis'!$G$13,IF($D$32=5,EXP($C$48)*J53^$B$48,IF($D$32=6,EXP($C$48+J53*$B$48),NA()))))))</f>
        <v>#N/A</v>
      </c>
      <c r="L53" s="34" t="e">
        <f ca="1">IF($D$32=1,$B$54*J53+$C$54,IF($D$32=2,$B$54*J53^2+$C$54*J53+$D$54,IF($D$32=3,$B$54*J53^3+$C$54*J53^2+$D$54*J53+$E$54,IF($D$32=4,$B$54*J53^'Double Analysis'!$G$13,IF($D$32=5,EXP($C$54)*J53^$B$54,IF($D$32=6,EXP($C$54+J53*$B$54),NA()))))))</f>
        <v>#N/A</v>
      </c>
      <c r="N53" s="34" t="e">
        <f t="shared" ca="1" si="3"/>
        <v>#N/A</v>
      </c>
      <c r="O53" s="34" t="e">
        <f t="shared" ca="1" si="4"/>
        <v>#N/A</v>
      </c>
      <c r="P53" s="34" t="e">
        <f t="shared" si="5"/>
        <v>#N/A</v>
      </c>
      <c r="R53" s="34" t="str">
        <f t="shared" si="6"/>
        <v/>
      </c>
      <c r="Y53" s="34" t="str">
        <f t="shared" si="7"/>
        <v xml:space="preserve"> </v>
      </c>
      <c r="Z53" s="34" t="e">
        <f t="shared" ca="1" si="8"/>
        <v>#N/A</v>
      </c>
      <c r="AA53" s="34" t="e">
        <f t="array" aca="1" ref="AA53" ca="1">IF(ISNUMBER(Z53),INDEX(DA_y1data,MATCH(Z53,$Y$2:$Y$102,0)),NA())</f>
        <v>#N/A</v>
      </c>
      <c r="AB53" s="34" t="e">
        <f t="shared" si="9"/>
        <v>#N/A</v>
      </c>
      <c r="AC53" s="34" t="str">
        <f t="shared" si="10"/>
        <v xml:space="preserve"> </v>
      </c>
      <c r="AD53" s="34" t="e">
        <f t="shared" ca="1" si="11"/>
        <v>#N/A</v>
      </c>
      <c r="AE53" s="34" t="e">
        <f t="array" aca="1" ref="AE53" ca="1">IF(ISNUMBER(AD53),INDEX(DA_y2data,MATCH(AD53,$AC$2:$AC$102,0)),NA())</f>
        <v>#N/A</v>
      </c>
      <c r="AF53" s="34" t="e">
        <f t="shared" si="12"/>
        <v>#N/A</v>
      </c>
      <c r="AK53" s="46">
        <f>MIN('Manual Fitting'!$A$3:$A$32)+(MAX('Manual Fitting'!$A$3:$A$32)-MIN('Manual Fitting'!$A$3:$A$17))*(Guts!F53/100)</f>
        <v>0</v>
      </c>
      <c r="AL53" s="46">
        <f t="shared" si="13"/>
        <v>0</v>
      </c>
      <c r="AP53" s="46">
        <f t="shared" si="14"/>
        <v>0</v>
      </c>
      <c r="AQ53" s="48">
        <f t="shared" si="15"/>
        <v>0</v>
      </c>
      <c r="AR53" s="48" t="e">
        <f t="shared" ca="1" si="16"/>
        <v>#N/A</v>
      </c>
    </row>
    <row r="54" spans="1:44">
      <c r="A54" s="6" t="s">
        <v>71</v>
      </c>
      <c r="B54" s="6" t="e">
        <f t="array" aca="1" ref="B54" ca="1">IF(D32=1,LINEST(DA_y2data,DA_x2data,1,1),IF(D32=2,LINEST(DA_y2data,DA_x2data^{1,2},1,1),IF(D32=3,LINEST(DA_y2data,DA_x2data^{1,2,3},1,1),IF(D32=4,LINEST(DA_y2data,DA_x2data^('Double Analysis'!G13),0,1),IF(D32=5,LINEST(LN(DA_y2data),LN(DA_x2data),1,1),IF(D32=6,LINEST(LN(DA_y2data),DA_x2data,1,1),NA()))))))</f>
        <v>#N/A</v>
      </c>
      <c r="C54" s="6"/>
      <c r="D54" s="6"/>
      <c r="E54" s="6"/>
      <c r="F54" s="34">
        <v>52</v>
      </c>
      <c r="G54" s="46">
        <f t="shared" ca="1" si="0"/>
        <v>4160</v>
      </c>
      <c r="H54" s="34" t="e">
        <f t="shared" si="1"/>
        <v>#N/A</v>
      </c>
      <c r="J54" s="34" t="e">
        <f t="shared" ca="1" si="2"/>
        <v>#N/A</v>
      </c>
      <c r="K54" s="34" t="e">
        <f ca="1">IF($D$32=1,$B$48*J54+$C$48,IF($D$32=2,$B$48*J54^2+$C$48*J54+$D$48,IF($D$32=3,$B$48*J54^3+$C$48*J54^2+$D$48*J54+$E$48,IF($D$32=4,$B$48*J54^'Double Analysis'!$G$13,IF($D$32=5,EXP($C$48)*J54^$B$48,IF($D$32=6,EXP($C$48+J54*$B$48),NA()))))))</f>
        <v>#N/A</v>
      </c>
      <c r="L54" s="34" t="e">
        <f ca="1">IF($D$32=1,$B$54*J54+$C$54,IF($D$32=2,$B$54*J54^2+$C$54*J54+$D$54,IF($D$32=3,$B$54*J54^3+$C$54*J54^2+$D$54*J54+$E$54,IF($D$32=4,$B$54*J54^'Double Analysis'!$G$13,IF($D$32=5,EXP($C$54)*J54^$B$54,IF($D$32=6,EXP($C$54+J54*$B$54),NA()))))))</f>
        <v>#N/A</v>
      </c>
      <c r="N54" s="34" t="e">
        <f t="shared" ca="1" si="3"/>
        <v>#N/A</v>
      </c>
      <c r="O54" s="34" t="e">
        <f t="shared" ca="1" si="4"/>
        <v>#N/A</v>
      </c>
      <c r="P54" s="34" t="e">
        <f t="shared" si="5"/>
        <v>#N/A</v>
      </c>
      <c r="R54" s="34" t="str">
        <f t="shared" si="6"/>
        <v/>
      </c>
      <c r="Y54" s="34" t="str">
        <f t="shared" si="7"/>
        <v xml:space="preserve"> </v>
      </c>
      <c r="Z54" s="34" t="e">
        <f t="shared" ca="1" si="8"/>
        <v>#N/A</v>
      </c>
      <c r="AA54" s="34" t="e">
        <f t="array" aca="1" ref="AA54" ca="1">IF(ISNUMBER(Z54),INDEX(DA_y1data,MATCH(Z54,$Y$2:$Y$102,0)),NA())</f>
        <v>#N/A</v>
      </c>
      <c r="AB54" s="34" t="e">
        <f t="shared" si="9"/>
        <v>#N/A</v>
      </c>
      <c r="AC54" s="34" t="str">
        <f t="shared" si="10"/>
        <v xml:space="preserve"> </v>
      </c>
      <c r="AD54" s="34" t="e">
        <f t="shared" ca="1" si="11"/>
        <v>#N/A</v>
      </c>
      <c r="AE54" s="34" t="e">
        <f t="array" aca="1" ref="AE54" ca="1">IF(ISNUMBER(AD54),INDEX(DA_y2data,MATCH(AD54,$AC$2:$AC$102,0)),NA())</f>
        <v>#N/A</v>
      </c>
      <c r="AF54" s="34" t="e">
        <f t="shared" si="12"/>
        <v>#N/A</v>
      </c>
      <c r="AK54" s="46">
        <f>MIN('Manual Fitting'!$A$3:$A$32)+(MAX('Manual Fitting'!$A$3:$A$32)-MIN('Manual Fitting'!$A$3:$A$17))*(Guts!F54/100)</f>
        <v>0</v>
      </c>
      <c r="AL54" s="46">
        <f t="shared" si="13"/>
        <v>0</v>
      </c>
      <c r="AP54" s="46">
        <f t="shared" si="14"/>
        <v>0</v>
      </c>
      <c r="AQ54" s="48">
        <f t="shared" si="15"/>
        <v>0</v>
      </c>
      <c r="AR54" s="48" t="e">
        <f t="shared" ca="1" si="16"/>
        <v>#N/A</v>
      </c>
    </row>
    <row r="55" spans="1:44">
      <c r="A55" s="6" t="s">
        <v>72</v>
      </c>
      <c r="B55" s="6"/>
      <c r="C55" s="6"/>
      <c r="D55" s="6"/>
      <c r="E55" s="6"/>
      <c r="F55" s="34">
        <v>53</v>
      </c>
      <c r="G55" s="46">
        <f t="shared" ca="1" si="0"/>
        <v>4240</v>
      </c>
      <c r="H55" s="34" t="e">
        <f t="shared" si="1"/>
        <v>#N/A</v>
      </c>
      <c r="J55" s="34" t="e">
        <f t="shared" ca="1" si="2"/>
        <v>#N/A</v>
      </c>
      <c r="K55" s="34" t="e">
        <f ca="1">IF($D$32=1,$B$48*J55+$C$48,IF($D$32=2,$B$48*J55^2+$C$48*J55+$D$48,IF($D$32=3,$B$48*J55^3+$C$48*J55^2+$D$48*J55+$E$48,IF($D$32=4,$B$48*J55^'Double Analysis'!$G$13,IF($D$32=5,EXP($C$48)*J55^$B$48,IF($D$32=6,EXP($C$48+J55*$B$48),NA()))))))</f>
        <v>#N/A</v>
      </c>
      <c r="L55" s="34" t="e">
        <f ca="1">IF($D$32=1,$B$54*J55+$C$54,IF($D$32=2,$B$54*J55^2+$C$54*J55+$D$54,IF($D$32=3,$B$54*J55^3+$C$54*J55^2+$D$54*J55+$E$54,IF($D$32=4,$B$54*J55^'Double Analysis'!$G$13,IF($D$32=5,EXP($C$54)*J55^$B$54,IF($D$32=6,EXP($C$54+J55*$B$54),NA()))))))</f>
        <v>#N/A</v>
      </c>
      <c r="N55" s="34" t="e">
        <f t="shared" ca="1" si="3"/>
        <v>#N/A</v>
      </c>
      <c r="O55" s="34" t="e">
        <f t="shared" ca="1" si="4"/>
        <v>#N/A</v>
      </c>
      <c r="P55" s="34" t="e">
        <f t="shared" si="5"/>
        <v>#N/A</v>
      </c>
      <c r="R55" s="34" t="str">
        <f t="shared" si="6"/>
        <v/>
      </c>
      <c r="Y55" s="34" t="str">
        <f t="shared" si="7"/>
        <v xml:space="preserve"> </v>
      </c>
      <c r="Z55" s="34" t="e">
        <f t="shared" ca="1" si="8"/>
        <v>#N/A</v>
      </c>
      <c r="AA55" s="34" t="e">
        <f t="array" aca="1" ref="AA55" ca="1">IF(ISNUMBER(Z55),INDEX(DA_y1data,MATCH(Z55,$Y$2:$Y$102,0)),NA())</f>
        <v>#N/A</v>
      </c>
      <c r="AB55" s="34" t="e">
        <f t="shared" si="9"/>
        <v>#N/A</v>
      </c>
      <c r="AC55" s="34" t="str">
        <f t="shared" si="10"/>
        <v xml:space="preserve"> </v>
      </c>
      <c r="AD55" s="34" t="e">
        <f t="shared" ca="1" si="11"/>
        <v>#N/A</v>
      </c>
      <c r="AE55" s="34" t="e">
        <f t="array" aca="1" ref="AE55" ca="1">IF(ISNUMBER(AD55),INDEX(DA_y2data,MATCH(AD55,$AC$2:$AC$102,0)),NA())</f>
        <v>#N/A</v>
      </c>
      <c r="AF55" s="34" t="e">
        <f t="shared" si="12"/>
        <v>#N/A</v>
      </c>
      <c r="AK55" s="46">
        <f>MIN('Manual Fitting'!$A$3:$A$32)+(MAX('Manual Fitting'!$A$3:$A$32)-MIN('Manual Fitting'!$A$3:$A$17))*(Guts!F55/100)</f>
        <v>0</v>
      </c>
      <c r="AL55" s="46">
        <f t="shared" si="13"/>
        <v>0</v>
      </c>
      <c r="AP55" s="46">
        <f t="shared" si="14"/>
        <v>0</v>
      </c>
      <c r="AQ55" s="48">
        <f t="shared" si="15"/>
        <v>0</v>
      </c>
      <c r="AR55" s="48" t="e">
        <f t="shared" ca="1" si="16"/>
        <v>#N/A</v>
      </c>
    </row>
    <row r="56" spans="1:44">
      <c r="A56" s="6" t="s">
        <v>73</v>
      </c>
      <c r="B56" s="6"/>
      <c r="C56" s="6"/>
      <c r="D56" s="6"/>
      <c r="E56" s="6"/>
      <c r="F56" s="34">
        <v>54</v>
      </c>
      <c r="G56" s="46">
        <f t="shared" ca="1" si="0"/>
        <v>4320</v>
      </c>
      <c r="H56" s="34" t="e">
        <f t="shared" si="1"/>
        <v>#N/A</v>
      </c>
      <c r="J56" s="34" t="e">
        <f t="shared" ca="1" si="2"/>
        <v>#N/A</v>
      </c>
      <c r="K56" s="34" t="e">
        <f ca="1">IF($D$32=1,$B$48*J56+$C$48,IF($D$32=2,$B$48*J56^2+$C$48*J56+$D$48,IF($D$32=3,$B$48*J56^3+$C$48*J56^2+$D$48*J56+$E$48,IF($D$32=4,$B$48*J56^'Double Analysis'!$G$13,IF($D$32=5,EXP($C$48)*J56^$B$48,IF($D$32=6,EXP($C$48+J56*$B$48),NA()))))))</f>
        <v>#N/A</v>
      </c>
      <c r="L56" s="34" t="e">
        <f ca="1">IF($D$32=1,$B$54*J56+$C$54,IF($D$32=2,$B$54*J56^2+$C$54*J56+$D$54,IF($D$32=3,$B$54*J56^3+$C$54*J56^2+$D$54*J56+$E$54,IF($D$32=4,$B$54*J56^'Double Analysis'!$G$13,IF($D$32=5,EXP($C$54)*J56^$B$54,IF($D$32=6,EXP($C$54+J56*$B$54),NA()))))))</f>
        <v>#N/A</v>
      </c>
      <c r="N56" s="34" t="e">
        <f t="shared" ca="1" si="3"/>
        <v>#N/A</v>
      </c>
      <c r="O56" s="34" t="e">
        <f t="shared" ca="1" si="4"/>
        <v>#N/A</v>
      </c>
      <c r="P56" s="34" t="e">
        <f t="shared" si="5"/>
        <v>#N/A</v>
      </c>
      <c r="R56" s="34" t="str">
        <f t="shared" si="6"/>
        <v/>
      </c>
      <c r="Y56" s="34" t="str">
        <f t="shared" si="7"/>
        <v xml:space="preserve"> </v>
      </c>
      <c r="Z56" s="34" t="e">
        <f t="shared" ca="1" si="8"/>
        <v>#N/A</v>
      </c>
      <c r="AA56" s="34" t="e">
        <f t="array" aca="1" ref="AA56" ca="1">IF(ISNUMBER(Z56),INDEX(DA_y1data,MATCH(Z56,$Y$2:$Y$102,0)),NA())</f>
        <v>#N/A</v>
      </c>
      <c r="AB56" s="34" t="e">
        <f t="shared" si="9"/>
        <v>#N/A</v>
      </c>
      <c r="AC56" s="34" t="str">
        <f t="shared" si="10"/>
        <v xml:space="preserve"> </v>
      </c>
      <c r="AD56" s="34" t="e">
        <f t="shared" ca="1" si="11"/>
        <v>#N/A</v>
      </c>
      <c r="AE56" s="34" t="e">
        <f t="array" aca="1" ref="AE56" ca="1">IF(ISNUMBER(AD56),INDEX(DA_y2data,MATCH(AD56,$AC$2:$AC$102,0)),NA())</f>
        <v>#N/A</v>
      </c>
      <c r="AF56" s="34" t="e">
        <f t="shared" si="12"/>
        <v>#N/A</v>
      </c>
      <c r="AK56" s="46">
        <f>MIN('Manual Fitting'!$A$3:$A$32)+(MAX('Manual Fitting'!$A$3:$A$32)-MIN('Manual Fitting'!$A$3:$A$17))*(Guts!F56/100)</f>
        <v>0</v>
      </c>
      <c r="AL56" s="46">
        <f t="shared" si="13"/>
        <v>0</v>
      </c>
      <c r="AP56" s="46">
        <f t="shared" si="14"/>
        <v>0</v>
      </c>
      <c r="AQ56" s="48">
        <f t="shared" si="15"/>
        <v>0</v>
      </c>
      <c r="AR56" s="48" t="e">
        <f t="shared" ca="1" si="16"/>
        <v>#N/A</v>
      </c>
    </row>
    <row r="57" spans="1:44">
      <c r="A57" s="6"/>
      <c r="B57" s="6"/>
      <c r="C57" s="6"/>
      <c r="D57" s="6"/>
      <c r="E57" s="6"/>
      <c r="F57" s="34">
        <v>55</v>
      </c>
      <c r="G57" s="46">
        <f t="shared" ca="1" si="0"/>
        <v>4400</v>
      </c>
      <c r="H57" s="34" t="e">
        <f t="shared" si="1"/>
        <v>#N/A</v>
      </c>
      <c r="J57" s="34" t="e">
        <f t="shared" ca="1" si="2"/>
        <v>#N/A</v>
      </c>
      <c r="K57" s="34" t="e">
        <f ca="1">IF($D$32=1,$B$48*J57+$C$48,IF($D$32=2,$B$48*J57^2+$C$48*J57+$D$48,IF($D$32=3,$B$48*J57^3+$C$48*J57^2+$D$48*J57+$E$48,IF($D$32=4,$B$48*J57^'Double Analysis'!$G$13,IF($D$32=5,EXP($C$48)*J57^$B$48,IF($D$32=6,EXP($C$48+J57*$B$48),NA()))))))</f>
        <v>#N/A</v>
      </c>
      <c r="L57" s="34" t="e">
        <f ca="1">IF($D$32=1,$B$54*J57+$C$54,IF($D$32=2,$B$54*J57^2+$C$54*J57+$D$54,IF($D$32=3,$B$54*J57^3+$C$54*J57^2+$D$54*J57+$E$54,IF($D$32=4,$B$54*J57^'Double Analysis'!$G$13,IF($D$32=5,EXP($C$54)*J57^$B$54,IF($D$32=6,EXP($C$54+J57*$B$54),NA()))))))</f>
        <v>#N/A</v>
      </c>
      <c r="N57" s="34" t="e">
        <f t="shared" ca="1" si="3"/>
        <v>#N/A</v>
      </c>
      <c r="O57" s="34" t="e">
        <f t="shared" ca="1" si="4"/>
        <v>#N/A</v>
      </c>
      <c r="P57" s="34" t="e">
        <f t="shared" si="5"/>
        <v>#N/A</v>
      </c>
      <c r="R57" s="34" t="str">
        <f t="shared" si="6"/>
        <v/>
      </c>
      <c r="Y57" s="34" t="str">
        <f t="shared" si="7"/>
        <v xml:space="preserve"> </v>
      </c>
      <c r="Z57" s="34" t="e">
        <f t="shared" ca="1" si="8"/>
        <v>#N/A</v>
      </c>
      <c r="AA57" s="34" t="e">
        <f t="array" aca="1" ref="AA57" ca="1">IF(ISNUMBER(Z57),INDEX(DA_y1data,MATCH(Z57,$Y$2:$Y$102,0)),NA())</f>
        <v>#N/A</v>
      </c>
      <c r="AB57" s="34" t="e">
        <f t="shared" si="9"/>
        <v>#N/A</v>
      </c>
      <c r="AC57" s="34" t="str">
        <f t="shared" si="10"/>
        <v xml:space="preserve"> </v>
      </c>
      <c r="AD57" s="34" t="e">
        <f t="shared" ca="1" si="11"/>
        <v>#N/A</v>
      </c>
      <c r="AE57" s="34" t="e">
        <f t="array" aca="1" ref="AE57" ca="1">IF(ISNUMBER(AD57),INDEX(DA_y2data,MATCH(AD57,$AC$2:$AC$102,0)),NA())</f>
        <v>#N/A</v>
      </c>
      <c r="AF57" s="34" t="e">
        <f t="shared" si="12"/>
        <v>#N/A</v>
      </c>
      <c r="AK57" s="46">
        <f>MIN('Manual Fitting'!$A$3:$A$32)+(MAX('Manual Fitting'!$A$3:$A$32)-MIN('Manual Fitting'!$A$3:$A$17))*(Guts!F57/100)</f>
        <v>0</v>
      </c>
      <c r="AL57" s="46">
        <f t="shared" si="13"/>
        <v>0</v>
      </c>
      <c r="AP57" s="46">
        <f t="shared" si="14"/>
        <v>0</v>
      </c>
      <c r="AQ57" s="48">
        <f t="shared" si="15"/>
        <v>0</v>
      </c>
      <c r="AR57" s="48" t="e">
        <f t="shared" ca="1" si="16"/>
        <v>#N/A</v>
      </c>
    </row>
    <row r="58" spans="1:44">
      <c r="A58" s="6"/>
      <c r="B58" s="6"/>
      <c r="C58" s="6"/>
      <c r="D58" s="6"/>
      <c r="E58" s="6"/>
      <c r="F58" s="34">
        <v>56</v>
      </c>
      <c r="G58" s="46">
        <f t="shared" ca="1" si="0"/>
        <v>4480</v>
      </c>
      <c r="H58" s="34" t="e">
        <f t="shared" si="1"/>
        <v>#N/A</v>
      </c>
      <c r="J58" s="34" t="e">
        <f t="shared" ca="1" si="2"/>
        <v>#N/A</v>
      </c>
      <c r="K58" s="34" t="e">
        <f ca="1">IF($D$32=1,$B$48*J58+$C$48,IF($D$32=2,$B$48*J58^2+$C$48*J58+$D$48,IF($D$32=3,$B$48*J58^3+$C$48*J58^2+$D$48*J58+$E$48,IF($D$32=4,$B$48*J58^'Double Analysis'!$G$13,IF($D$32=5,EXP($C$48)*J58^$B$48,IF($D$32=6,EXP($C$48+J58*$B$48),NA()))))))</f>
        <v>#N/A</v>
      </c>
      <c r="L58" s="34" t="e">
        <f ca="1">IF($D$32=1,$B$54*J58+$C$54,IF($D$32=2,$B$54*J58^2+$C$54*J58+$D$54,IF($D$32=3,$B$54*J58^3+$C$54*J58^2+$D$54*J58+$E$54,IF($D$32=4,$B$54*J58^'Double Analysis'!$G$13,IF($D$32=5,EXP($C$54)*J58^$B$54,IF($D$32=6,EXP($C$54+J58*$B$54),NA()))))))</f>
        <v>#N/A</v>
      </c>
      <c r="N58" s="34" t="e">
        <f t="shared" ca="1" si="3"/>
        <v>#N/A</v>
      </c>
      <c r="O58" s="34" t="e">
        <f t="shared" ca="1" si="4"/>
        <v>#N/A</v>
      </c>
      <c r="P58" s="34" t="e">
        <f t="shared" si="5"/>
        <v>#N/A</v>
      </c>
      <c r="R58" s="34" t="str">
        <f t="shared" si="6"/>
        <v/>
      </c>
      <c r="Y58" s="34" t="str">
        <f t="shared" si="7"/>
        <v xml:space="preserve"> </v>
      </c>
      <c r="Z58" s="34" t="e">
        <f t="shared" ca="1" si="8"/>
        <v>#N/A</v>
      </c>
      <c r="AA58" s="34" t="e">
        <f t="array" aca="1" ref="AA58" ca="1">IF(ISNUMBER(Z58),INDEX(DA_y1data,MATCH(Z58,$Y$2:$Y$102,0)),NA())</f>
        <v>#N/A</v>
      </c>
      <c r="AB58" s="34" t="e">
        <f t="shared" si="9"/>
        <v>#N/A</v>
      </c>
      <c r="AC58" s="34" t="str">
        <f t="shared" si="10"/>
        <v xml:space="preserve"> </v>
      </c>
      <c r="AD58" s="34" t="e">
        <f t="shared" ca="1" si="11"/>
        <v>#N/A</v>
      </c>
      <c r="AE58" s="34" t="e">
        <f t="array" aca="1" ref="AE58" ca="1">IF(ISNUMBER(AD58),INDEX(DA_y2data,MATCH(AD58,$AC$2:$AC$102,0)),NA())</f>
        <v>#N/A</v>
      </c>
      <c r="AF58" s="34" t="e">
        <f t="shared" si="12"/>
        <v>#N/A</v>
      </c>
      <c r="AK58" s="46">
        <f>MIN('Manual Fitting'!$A$3:$A$32)+(MAX('Manual Fitting'!$A$3:$A$32)-MIN('Manual Fitting'!$A$3:$A$17))*(Guts!F58/100)</f>
        <v>0</v>
      </c>
      <c r="AL58" s="46">
        <f t="shared" si="13"/>
        <v>0</v>
      </c>
      <c r="AP58" s="46">
        <f t="shared" si="14"/>
        <v>0</v>
      </c>
      <c r="AQ58" s="48">
        <f t="shared" si="15"/>
        <v>0</v>
      </c>
      <c r="AR58" s="48" t="e">
        <f t="shared" ca="1" si="16"/>
        <v>#N/A</v>
      </c>
    </row>
    <row r="59" spans="1:44">
      <c r="A59" s="6" t="s">
        <v>102</v>
      </c>
      <c r="B59" s="6"/>
      <c r="C59" s="6"/>
      <c r="D59" s="6"/>
      <c r="E59" s="6"/>
      <c r="F59" s="34">
        <v>57</v>
      </c>
      <c r="G59" s="46">
        <f t="shared" ca="1" si="0"/>
        <v>4560</v>
      </c>
      <c r="H59" s="34" t="e">
        <f t="shared" si="1"/>
        <v>#N/A</v>
      </c>
      <c r="J59" s="34" t="e">
        <f t="shared" ca="1" si="2"/>
        <v>#N/A</v>
      </c>
      <c r="K59" s="34" t="e">
        <f ca="1">IF($D$32=1,$B$48*J59+$C$48,IF($D$32=2,$B$48*J59^2+$C$48*J59+$D$48,IF($D$32=3,$B$48*J59^3+$C$48*J59^2+$D$48*J59+$E$48,IF($D$32=4,$B$48*J59^'Double Analysis'!$G$13,IF($D$32=5,EXP($C$48)*J59^$B$48,IF($D$32=6,EXP($C$48+J59*$B$48),NA()))))))</f>
        <v>#N/A</v>
      </c>
      <c r="L59" s="34" t="e">
        <f ca="1">IF($D$32=1,$B$54*J59+$C$54,IF($D$32=2,$B$54*J59^2+$C$54*J59+$D$54,IF($D$32=3,$B$54*J59^3+$C$54*J59^2+$D$54*J59+$E$54,IF($D$32=4,$B$54*J59^'Double Analysis'!$G$13,IF($D$32=5,EXP($C$54)*J59^$B$54,IF($D$32=6,EXP($C$54+J59*$B$54),NA()))))))</f>
        <v>#N/A</v>
      </c>
      <c r="N59" s="34" t="e">
        <f t="shared" ca="1" si="3"/>
        <v>#N/A</v>
      </c>
      <c r="O59" s="34" t="e">
        <f t="shared" ca="1" si="4"/>
        <v>#N/A</v>
      </c>
      <c r="P59" s="34" t="e">
        <f t="shared" si="5"/>
        <v>#N/A</v>
      </c>
      <c r="R59" s="34" t="str">
        <f t="shared" si="6"/>
        <v/>
      </c>
      <c r="Y59" s="34" t="str">
        <f t="shared" si="7"/>
        <v xml:space="preserve"> </v>
      </c>
      <c r="Z59" s="34" t="e">
        <f t="shared" ca="1" si="8"/>
        <v>#N/A</v>
      </c>
      <c r="AA59" s="34" t="e">
        <f t="array" aca="1" ref="AA59" ca="1">IF(ISNUMBER(Z59),INDEX(DA_y1data,MATCH(Z59,$Y$2:$Y$102,0)),NA())</f>
        <v>#N/A</v>
      </c>
      <c r="AB59" s="34" t="e">
        <f t="shared" si="9"/>
        <v>#N/A</v>
      </c>
      <c r="AC59" s="34" t="str">
        <f t="shared" si="10"/>
        <v xml:space="preserve"> </v>
      </c>
      <c r="AD59" s="34" t="e">
        <f t="shared" ca="1" si="11"/>
        <v>#N/A</v>
      </c>
      <c r="AE59" s="34" t="e">
        <f t="array" aca="1" ref="AE59" ca="1">IF(ISNUMBER(AD59),INDEX(DA_y2data,MATCH(AD59,$AC$2:$AC$102,0)),NA())</f>
        <v>#N/A</v>
      </c>
      <c r="AF59" s="34" t="e">
        <f t="shared" si="12"/>
        <v>#N/A</v>
      </c>
      <c r="AK59" s="46">
        <f>MIN('Manual Fitting'!$A$3:$A$32)+(MAX('Manual Fitting'!$A$3:$A$32)-MIN('Manual Fitting'!$A$3:$A$17))*(Guts!F59/100)</f>
        <v>0</v>
      </c>
      <c r="AL59" s="46">
        <f t="shared" si="13"/>
        <v>0</v>
      </c>
      <c r="AP59" s="46">
        <f t="shared" si="14"/>
        <v>0</v>
      </c>
      <c r="AQ59" s="48">
        <f t="shared" si="15"/>
        <v>0</v>
      </c>
      <c r="AR59" s="48" t="e">
        <f t="shared" ca="1" si="16"/>
        <v>#N/A</v>
      </c>
    </row>
    <row r="60" spans="1:44">
      <c r="A60" s="6">
        <f ca="1">1+COUNT(INDIRECT("'"&amp;"Analysis"&amp;"'"&amp;"!"&amp;ADDRESS(Guts!$D$7,1)):INDIRECT("'"&amp;"Analysis"&amp;"'"&amp;"!"&amp;ADDRESS(Guts!$D$4,1)))</f>
        <v>36</v>
      </c>
      <c r="B60" s="6"/>
      <c r="C60" s="6"/>
      <c r="D60" s="6"/>
      <c r="E60" s="6"/>
      <c r="F60" s="34">
        <v>58</v>
      </c>
      <c r="G60" s="46">
        <f t="shared" ca="1" si="0"/>
        <v>4640</v>
      </c>
      <c r="H60" s="34" t="e">
        <f t="shared" si="1"/>
        <v>#N/A</v>
      </c>
      <c r="J60" s="34" t="e">
        <f t="shared" ca="1" si="2"/>
        <v>#N/A</v>
      </c>
      <c r="K60" s="34" t="e">
        <f ca="1">IF($D$32=1,$B$48*J60+$C$48,IF($D$32=2,$B$48*J60^2+$C$48*J60+$D$48,IF($D$32=3,$B$48*J60^3+$C$48*J60^2+$D$48*J60+$E$48,IF($D$32=4,$B$48*J60^'Double Analysis'!$G$13,IF($D$32=5,EXP($C$48)*J60^$B$48,IF($D$32=6,EXP($C$48+J60*$B$48),NA()))))))</f>
        <v>#N/A</v>
      </c>
      <c r="L60" s="34" t="e">
        <f ca="1">IF($D$32=1,$B$54*J60+$C$54,IF($D$32=2,$B$54*J60^2+$C$54*J60+$D$54,IF($D$32=3,$B$54*J60^3+$C$54*J60^2+$D$54*J60+$E$54,IF($D$32=4,$B$54*J60^'Double Analysis'!$G$13,IF($D$32=5,EXP($C$54)*J60^$B$54,IF($D$32=6,EXP($C$54+J60*$B$54),NA()))))))</f>
        <v>#N/A</v>
      </c>
      <c r="N60" s="34" t="e">
        <f t="shared" ca="1" si="3"/>
        <v>#N/A</v>
      </c>
      <c r="O60" s="34" t="e">
        <f t="shared" ca="1" si="4"/>
        <v>#N/A</v>
      </c>
      <c r="P60" s="34" t="e">
        <f t="shared" si="5"/>
        <v>#N/A</v>
      </c>
      <c r="R60" s="34" t="str">
        <f t="shared" si="6"/>
        <v/>
      </c>
      <c r="Y60" s="34" t="str">
        <f t="shared" si="7"/>
        <v xml:space="preserve"> </v>
      </c>
      <c r="Z60" s="34" t="e">
        <f t="shared" ca="1" si="8"/>
        <v>#N/A</v>
      </c>
      <c r="AA60" s="34" t="e">
        <f t="array" aca="1" ref="AA60" ca="1">IF(ISNUMBER(Z60),INDEX(DA_y1data,MATCH(Z60,$Y$2:$Y$102,0)),NA())</f>
        <v>#N/A</v>
      </c>
      <c r="AB60" s="34" t="e">
        <f t="shared" si="9"/>
        <v>#N/A</v>
      </c>
      <c r="AC60" s="34" t="str">
        <f t="shared" si="10"/>
        <v xml:space="preserve"> </v>
      </c>
      <c r="AD60" s="34" t="e">
        <f t="shared" ca="1" si="11"/>
        <v>#N/A</v>
      </c>
      <c r="AE60" s="34" t="e">
        <f t="array" aca="1" ref="AE60" ca="1">IF(ISNUMBER(AD60),INDEX(DA_y2data,MATCH(AD60,$AC$2:$AC$102,0)),NA())</f>
        <v>#N/A</v>
      </c>
      <c r="AF60" s="34" t="e">
        <f t="shared" si="12"/>
        <v>#N/A</v>
      </c>
      <c r="AK60" s="46">
        <f>MIN('Manual Fitting'!$A$3:$A$32)+(MAX('Manual Fitting'!$A$3:$A$32)-MIN('Manual Fitting'!$A$3:$A$17))*(Guts!F60/100)</f>
        <v>0</v>
      </c>
      <c r="AL60" s="46">
        <f t="shared" si="13"/>
        <v>0</v>
      </c>
      <c r="AP60" s="46">
        <f t="shared" si="14"/>
        <v>0</v>
      </c>
      <c r="AQ60" s="48">
        <f t="shared" si="15"/>
        <v>0</v>
      </c>
      <c r="AR60" s="48" t="e">
        <f t="shared" ca="1" si="16"/>
        <v>#N/A</v>
      </c>
    </row>
    <row r="61" spans="1:44">
      <c r="A61" s="6"/>
      <c r="B61" s="6"/>
      <c r="C61" s="6"/>
      <c r="D61" s="6"/>
      <c r="E61" s="6"/>
      <c r="F61" s="34">
        <v>59</v>
      </c>
      <c r="G61" s="46">
        <f t="shared" ca="1" si="0"/>
        <v>4720</v>
      </c>
      <c r="H61" s="34" t="e">
        <f t="shared" si="1"/>
        <v>#N/A</v>
      </c>
      <c r="J61" s="34" t="e">
        <f t="shared" ca="1" si="2"/>
        <v>#N/A</v>
      </c>
      <c r="K61" s="34" t="e">
        <f ca="1">IF($D$32=1,$B$48*J61+$C$48,IF($D$32=2,$B$48*J61^2+$C$48*J61+$D$48,IF($D$32=3,$B$48*J61^3+$C$48*J61^2+$D$48*J61+$E$48,IF($D$32=4,$B$48*J61^'Double Analysis'!$G$13,IF($D$32=5,EXP($C$48)*J61^$B$48,IF($D$32=6,EXP($C$48+J61*$B$48),NA()))))))</f>
        <v>#N/A</v>
      </c>
      <c r="L61" s="34" t="e">
        <f ca="1">IF($D$32=1,$B$54*J61+$C$54,IF($D$32=2,$B$54*J61^2+$C$54*J61+$D$54,IF($D$32=3,$B$54*J61^3+$C$54*J61^2+$D$54*J61+$E$54,IF($D$32=4,$B$54*J61^'Double Analysis'!$G$13,IF($D$32=5,EXP($C$54)*J61^$B$54,IF($D$32=6,EXP($C$54+J61*$B$54),NA()))))))</f>
        <v>#N/A</v>
      </c>
      <c r="N61" s="34" t="e">
        <f t="shared" ca="1" si="3"/>
        <v>#N/A</v>
      </c>
      <c r="O61" s="34" t="e">
        <f t="shared" ca="1" si="4"/>
        <v>#N/A</v>
      </c>
      <c r="P61" s="34" t="e">
        <f t="shared" si="5"/>
        <v>#N/A</v>
      </c>
      <c r="R61" s="34" t="str">
        <f t="shared" si="6"/>
        <v/>
      </c>
      <c r="Y61" s="34" t="str">
        <f t="shared" si="7"/>
        <v xml:space="preserve"> </v>
      </c>
      <c r="Z61" s="34" t="e">
        <f t="shared" ca="1" si="8"/>
        <v>#N/A</v>
      </c>
      <c r="AA61" s="34" t="e">
        <f t="array" aca="1" ref="AA61" ca="1">IF(ISNUMBER(Z61),INDEX(DA_y1data,MATCH(Z61,$Y$2:$Y$102,0)),NA())</f>
        <v>#N/A</v>
      </c>
      <c r="AB61" s="34" t="e">
        <f t="shared" si="9"/>
        <v>#N/A</v>
      </c>
      <c r="AC61" s="34" t="str">
        <f t="shared" si="10"/>
        <v xml:space="preserve"> </v>
      </c>
      <c r="AD61" s="34" t="e">
        <f t="shared" ca="1" si="11"/>
        <v>#N/A</v>
      </c>
      <c r="AE61" s="34" t="e">
        <f t="array" aca="1" ref="AE61" ca="1">IF(ISNUMBER(AD61),INDEX(DA_y2data,MATCH(AD61,$AC$2:$AC$102,0)),NA())</f>
        <v>#N/A</v>
      </c>
      <c r="AF61" s="34" t="e">
        <f t="shared" si="12"/>
        <v>#N/A</v>
      </c>
      <c r="AK61" s="46">
        <f>MIN('Manual Fitting'!$A$3:$A$32)+(MAX('Manual Fitting'!$A$3:$A$32)-MIN('Manual Fitting'!$A$3:$A$17))*(Guts!F61/100)</f>
        <v>0</v>
      </c>
      <c r="AL61" s="46">
        <f t="shared" si="13"/>
        <v>0</v>
      </c>
      <c r="AP61" s="46">
        <f t="shared" si="14"/>
        <v>0</v>
      </c>
      <c r="AQ61" s="48">
        <f t="shared" si="15"/>
        <v>0</v>
      </c>
      <c r="AR61" s="48" t="e">
        <f t="shared" ca="1" si="16"/>
        <v>#N/A</v>
      </c>
    </row>
    <row r="62" spans="1:44">
      <c r="A62" s="6"/>
      <c r="B62" s="6" t="s">
        <v>103</v>
      </c>
      <c r="C62" s="6"/>
      <c r="D62" s="6"/>
      <c r="E62" s="6"/>
      <c r="F62" s="34">
        <v>60</v>
      </c>
      <c r="G62" s="46">
        <f t="shared" ca="1" si="0"/>
        <v>4800</v>
      </c>
      <c r="H62" s="34" t="e">
        <f t="shared" si="1"/>
        <v>#N/A</v>
      </c>
      <c r="J62" s="34" t="e">
        <f t="shared" ca="1" si="2"/>
        <v>#N/A</v>
      </c>
      <c r="K62" s="34" t="e">
        <f ca="1">IF($D$32=1,$B$48*J62+$C$48,IF($D$32=2,$B$48*J62^2+$C$48*J62+$D$48,IF($D$32=3,$B$48*J62^3+$C$48*J62^2+$D$48*J62+$E$48,IF($D$32=4,$B$48*J62^'Double Analysis'!$G$13,IF($D$32=5,EXP($C$48)*J62^$B$48,IF($D$32=6,EXP($C$48+J62*$B$48),NA()))))))</f>
        <v>#N/A</v>
      </c>
      <c r="L62" s="34" t="e">
        <f ca="1">IF($D$32=1,$B$54*J62+$C$54,IF($D$32=2,$B$54*J62^2+$C$54*J62+$D$54,IF($D$32=3,$B$54*J62^3+$C$54*J62^2+$D$54*J62+$E$54,IF($D$32=4,$B$54*J62^'Double Analysis'!$G$13,IF($D$32=5,EXP($C$54)*J62^$B$54,IF($D$32=6,EXP($C$54+J62*$B$54),NA()))))))</f>
        <v>#N/A</v>
      </c>
      <c r="N62" s="34" t="e">
        <f t="shared" ca="1" si="3"/>
        <v>#N/A</v>
      </c>
      <c r="O62" s="34" t="e">
        <f t="shared" ca="1" si="4"/>
        <v>#N/A</v>
      </c>
      <c r="P62" s="34" t="e">
        <f t="shared" si="5"/>
        <v>#N/A</v>
      </c>
      <c r="R62" s="34" t="str">
        <f t="shared" si="6"/>
        <v/>
      </c>
      <c r="Y62" s="34" t="str">
        <f t="shared" si="7"/>
        <v xml:space="preserve"> </v>
      </c>
      <c r="Z62" s="34" t="e">
        <f t="shared" ca="1" si="8"/>
        <v>#N/A</v>
      </c>
      <c r="AA62" s="34" t="e">
        <f t="array" aca="1" ref="AA62" ca="1">IF(ISNUMBER(Z62),INDEX(DA_y1data,MATCH(Z62,$Y$2:$Y$102,0)),NA())</f>
        <v>#N/A</v>
      </c>
      <c r="AB62" s="34" t="e">
        <f t="shared" si="9"/>
        <v>#N/A</v>
      </c>
      <c r="AC62" s="34" t="str">
        <f t="shared" si="10"/>
        <v xml:space="preserve"> </v>
      </c>
      <c r="AD62" s="34" t="e">
        <f t="shared" ca="1" si="11"/>
        <v>#N/A</v>
      </c>
      <c r="AE62" s="34" t="e">
        <f t="array" aca="1" ref="AE62" ca="1">IF(ISNUMBER(AD62),INDEX(DA_y2data,MATCH(AD62,$AC$2:$AC$102,0)),NA())</f>
        <v>#N/A</v>
      </c>
      <c r="AF62" s="34" t="e">
        <f t="shared" si="12"/>
        <v>#N/A</v>
      </c>
      <c r="AK62" s="46">
        <f>MIN('Manual Fitting'!$A$3:$A$32)+(MAX('Manual Fitting'!$A$3:$A$32)-MIN('Manual Fitting'!$A$3:$A$17))*(Guts!F62/100)</f>
        <v>0</v>
      </c>
      <c r="AL62" s="46">
        <f t="shared" si="13"/>
        <v>0</v>
      </c>
      <c r="AP62" s="46">
        <f t="shared" si="14"/>
        <v>0</v>
      </c>
      <c r="AQ62" s="48">
        <f t="shared" si="15"/>
        <v>0</v>
      </c>
      <c r="AR62" s="48" t="e">
        <f t="shared" ca="1" si="16"/>
        <v>#N/A</v>
      </c>
    </row>
    <row r="63" spans="1:44">
      <c r="A63" s="56" t="s">
        <v>55</v>
      </c>
      <c r="B63" s="52"/>
      <c r="C63" s="52"/>
      <c r="D63" s="6" t="e">
        <f t="array" ref="D63">LOOKUP(2,1/ISNUMBER('Manual Fitting'!A:A),ROW('Manual Fitting'!A:A))</f>
        <v>#N/A</v>
      </c>
      <c r="E63" s="6"/>
      <c r="F63" s="34">
        <v>61</v>
      </c>
      <c r="G63" s="46">
        <f t="shared" ca="1" si="0"/>
        <v>4880</v>
      </c>
      <c r="H63" s="34" t="e">
        <f t="shared" si="1"/>
        <v>#N/A</v>
      </c>
      <c r="J63" s="34" t="e">
        <f t="shared" ca="1" si="2"/>
        <v>#N/A</v>
      </c>
      <c r="K63" s="34" t="e">
        <f ca="1">IF($D$32=1,$B$48*J63+$C$48,IF($D$32=2,$B$48*J63^2+$C$48*J63+$D$48,IF($D$32=3,$B$48*J63^3+$C$48*J63^2+$D$48*J63+$E$48,IF($D$32=4,$B$48*J63^'Double Analysis'!$G$13,IF($D$32=5,EXP($C$48)*J63^$B$48,IF($D$32=6,EXP($C$48+J63*$B$48),NA()))))))</f>
        <v>#N/A</v>
      </c>
      <c r="L63" s="34" t="e">
        <f ca="1">IF($D$32=1,$B$54*J63+$C$54,IF($D$32=2,$B$54*J63^2+$C$54*J63+$D$54,IF($D$32=3,$B$54*J63^3+$C$54*J63^2+$D$54*J63+$E$54,IF($D$32=4,$B$54*J63^'Double Analysis'!$G$13,IF($D$32=5,EXP($C$54)*J63^$B$54,IF($D$32=6,EXP($C$54+J63*$B$54),NA()))))))</f>
        <v>#N/A</v>
      </c>
      <c r="N63" s="34" t="e">
        <f t="shared" ca="1" si="3"/>
        <v>#N/A</v>
      </c>
      <c r="O63" s="34" t="e">
        <f t="shared" ca="1" si="4"/>
        <v>#N/A</v>
      </c>
      <c r="P63" s="34" t="e">
        <f t="shared" si="5"/>
        <v>#N/A</v>
      </c>
      <c r="R63" s="34" t="str">
        <f t="shared" si="6"/>
        <v/>
      </c>
      <c r="Y63" s="34" t="str">
        <f t="shared" si="7"/>
        <v xml:space="preserve"> </v>
      </c>
      <c r="Z63" s="34" t="e">
        <f t="shared" ca="1" si="8"/>
        <v>#N/A</v>
      </c>
      <c r="AA63" s="34" t="e">
        <f t="array" aca="1" ref="AA63" ca="1">IF(ISNUMBER(Z63),INDEX(DA_y1data,MATCH(Z63,$Y$2:$Y$102,0)),NA())</f>
        <v>#N/A</v>
      </c>
      <c r="AB63" s="34" t="e">
        <f t="shared" si="9"/>
        <v>#N/A</v>
      </c>
      <c r="AC63" s="34" t="str">
        <f t="shared" si="10"/>
        <v xml:space="preserve"> </v>
      </c>
      <c r="AD63" s="34" t="e">
        <f t="shared" ca="1" si="11"/>
        <v>#N/A</v>
      </c>
      <c r="AE63" s="34" t="e">
        <f t="array" aca="1" ref="AE63" ca="1">IF(ISNUMBER(AD63),INDEX(DA_y2data,MATCH(AD63,$AC$2:$AC$102,0)),NA())</f>
        <v>#N/A</v>
      </c>
      <c r="AF63" s="34" t="e">
        <f t="shared" si="12"/>
        <v>#N/A</v>
      </c>
      <c r="AK63" s="46">
        <f>MIN('Manual Fitting'!$A$3:$A$32)+(MAX('Manual Fitting'!$A$3:$A$32)-MIN('Manual Fitting'!$A$3:$A$17))*(Guts!F63/100)</f>
        <v>0</v>
      </c>
      <c r="AL63" s="46">
        <f t="shared" si="13"/>
        <v>0</v>
      </c>
      <c r="AP63" s="46">
        <f t="shared" si="14"/>
        <v>0</v>
      </c>
      <c r="AQ63" s="48">
        <f t="shared" si="15"/>
        <v>0</v>
      </c>
      <c r="AR63" s="48" t="e">
        <f t="shared" ca="1" si="16"/>
        <v>#N/A</v>
      </c>
    </row>
    <row r="64" spans="1:44">
      <c r="A64" s="56" t="s">
        <v>57</v>
      </c>
      <c r="B64" s="52"/>
      <c r="C64" s="52"/>
      <c r="D64" s="6" t="e">
        <f t="array" ref="D64">LOOKUP(2,1/ISNUMBER('Manual Fitting'!B:B),ROW('Manual Fitting'!B:B))</f>
        <v>#N/A</v>
      </c>
      <c r="E64" s="6"/>
      <c r="F64" s="34">
        <v>62</v>
      </c>
      <c r="G64" s="46">
        <f t="shared" ca="1" si="0"/>
        <v>4960</v>
      </c>
      <c r="H64" s="34" t="e">
        <f t="shared" si="1"/>
        <v>#N/A</v>
      </c>
      <c r="J64" s="34" t="e">
        <f t="shared" ca="1" si="2"/>
        <v>#N/A</v>
      </c>
      <c r="K64" s="34" t="e">
        <f ca="1">IF($D$32=1,$B$48*J64+$C$48,IF($D$32=2,$B$48*J64^2+$C$48*J64+$D$48,IF($D$32=3,$B$48*J64^3+$C$48*J64^2+$D$48*J64+$E$48,IF($D$32=4,$B$48*J64^'Double Analysis'!$G$13,IF($D$32=5,EXP($C$48)*J64^$B$48,IF($D$32=6,EXP($C$48+J64*$B$48),NA()))))))</f>
        <v>#N/A</v>
      </c>
      <c r="L64" s="34" t="e">
        <f ca="1">IF($D$32=1,$B$54*J64+$C$54,IF($D$32=2,$B$54*J64^2+$C$54*J64+$D$54,IF($D$32=3,$B$54*J64^3+$C$54*J64^2+$D$54*J64+$E$54,IF($D$32=4,$B$54*J64^'Double Analysis'!$G$13,IF($D$32=5,EXP($C$54)*J64^$B$54,IF($D$32=6,EXP($C$54+J64*$B$54),NA()))))))</f>
        <v>#N/A</v>
      </c>
      <c r="N64" s="34" t="e">
        <f t="shared" ca="1" si="3"/>
        <v>#N/A</v>
      </c>
      <c r="O64" s="34" t="e">
        <f t="shared" ca="1" si="4"/>
        <v>#N/A</v>
      </c>
      <c r="P64" s="34" t="e">
        <f t="shared" si="5"/>
        <v>#N/A</v>
      </c>
      <c r="R64" s="34" t="str">
        <f t="shared" si="6"/>
        <v/>
      </c>
      <c r="Y64" s="34" t="str">
        <f t="shared" si="7"/>
        <v xml:space="preserve"> </v>
      </c>
      <c r="Z64" s="34" t="e">
        <f t="shared" ca="1" si="8"/>
        <v>#N/A</v>
      </c>
      <c r="AA64" s="34" t="e">
        <f t="array" aca="1" ref="AA64" ca="1">IF(ISNUMBER(Z64),INDEX(DA_y1data,MATCH(Z64,$Y$2:$Y$102,0)),NA())</f>
        <v>#N/A</v>
      </c>
      <c r="AB64" s="34" t="e">
        <f t="shared" si="9"/>
        <v>#N/A</v>
      </c>
      <c r="AC64" s="34" t="str">
        <f t="shared" si="10"/>
        <v xml:space="preserve"> </v>
      </c>
      <c r="AD64" s="34" t="e">
        <f t="shared" ca="1" si="11"/>
        <v>#N/A</v>
      </c>
      <c r="AE64" s="34" t="e">
        <f t="array" aca="1" ref="AE64" ca="1">IF(ISNUMBER(AD64),INDEX(DA_y2data,MATCH(AD64,$AC$2:$AC$102,0)),NA())</f>
        <v>#N/A</v>
      </c>
      <c r="AF64" s="34" t="e">
        <f t="shared" si="12"/>
        <v>#N/A</v>
      </c>
      <c r="AK64" s="46">
        <f>MIN('Manual Fitting'!$A$3:$A$32)+(MAX('Manual Fitting'!$A$3:$A$32)-MIN('Manual Fitting'!$A$3:$A$17))*(Guts!F64/100)</f>
        <v>0</v>
      </c>
      <c r="AL64" s="46">
        <f t="shared" si="13"/>
        <v>0</v>
      </c>
      <c r="AP64" s="46">
        <f t="shared" si="14"/>
        <v>0</v>
      </c>
      <c r="AQ64" s="48">
        <f t="shared" si="15"/>
        <v>0</v>
      </c>
      <c r="AR64" s="48" t="e">
        <f t="shared" ca="1" si="16"/>
        <v>#N/A</v>
      </c>
    </row>
    <row r="65" spans="1:44">
      <c r="A65" s="56" t="s">
        <v>58</v>
      </c>
      <c r="B65" s="52"/>
      <c r="C65" s="52"/>
      <c r="D65" s="49" t="e">
        <f>MIN(D63,D64)</f>
        <v>#N/A</v>
      </c>
      <c r="E65" s="6"/>
      <c r="F65" s="34">
        <v>63</v>
      </c>
      <c r="G65" s="46">
        <f t="shared" ca="1" si="0"/>
        <v>5040</v>
      </c>
      <c r="H65" s="34" t="e">
        <f t="shared" si="1"/>
        <v>#N/A</v>
      </c>
      <c r="J65" s="34" t="e">
        <f t="shared" ca="1" si="2"/>
        <v>#N/A</v>
      </c>
      <c r="K65" s="34" t="e">
        <f ca="1">IF($D$32=1,$B$48*J65+$C$48,IF($D$32=2,$B$48*J65^2+$C$48*J65+$D$48,IF($D$32=3,$B$48*J65^3+$C$48*J65^2+$D$48*J65+$E$48,IF($D$32=4,$B$48*J65^'Double Analysis'!$G$13,IF($D$32=5,EXP($C$48)*J65^$B$48,IF($D$32=6,EXP($C$48+J65*$B$48),NA()))))))</f>
        <v>#N/A</v>
      </c>
      <c r="L65" s="34" t="e">
        <f ca="1">IF($D$32=1,$B$54*J65+$C$54,IF($D$32=2,$B$54*J65^2+$C$54*J65+$D$54,IF($D$32=3,$B$54*J65^3+$C$54*J65^2+$D$54*J65+$E$54,IF($D$32=4,$B$54*J65^'Double Analysis'!$G$13,IF($D$32=5,EXP($C$54)*J65^$B$54,IF($D$32=6,EXP($C$54+J65*$B$54),NA()))))))</f>
        <v>#N/A</v>
      </c>
      <c r="N65" s="34" t="e">
        <f t="shared" ca="1" si="3"/>
        <v>#N/A</v>
      </c>
      <c r="O65" s="34" t="e">
        <f t="shared" ca="1" si="4"/>
        <v>#N/A</v>
      </c>
      <c r="P65" s="34" t="e">
        <f t="shared" si="5"/>
        <v>#N/A</v>
      </c>
      <c r="R65" s="34" t="str">
        <f t="shared" si="6"/>
        <v/>
      </c>
      <c r="Y65" s="34" t="str">
        <f t="shared" si="7"/>
        <v xml:space="preserve"> </v>
      </c>
      <c r="Z65" s="34" t="e">
        <f t="shared" ca="1" si="8"/>
        <v>#N/A</v>
      </c>
      <c r="AA65" s="34" t="e">
        <f t="array" aca="1" ref="AA65" ca="1">IF(ISNUMBER(Z65),INDEX(DA_y1data,MATCH(Z65,$Y$2:$Y$102,0)),NA())</f>
        <v>#N/A</v>
      </c>
      <c r="AB65" s="34" t="e">
        <f t="shared" si="9"/>
        <v>#N/A</v>
      </c>
      <c r="AC65" s="34" t="str">
        <f t="shared" si="10"/>
        <v xml:space="preserve"> </v>
      </c>
      <c r="AD65" s="34" t="e">
        <f t="shared" ca="1" si="11"/>
        <v>#N/A</v>
      </c>
      <c r="AE65" s="34" t="e">
        <f t="array" aca="1" ref="AE65" ca="1">IF(ISNUMBER(AD65),INDEX(DA_y2data,MATCH(AD65,$AC$2:$AC$102,0)),NA())</f>
        <v>#N/A</v>
      </c>
      <c r="AF65" s="34" t="e">
        <f t="shared" si="12"/>
        <v>#N/A</v>
      </c>
      <c r="AK65" s="46">
        <f>MIN('Manual Fitting'!$A$3:$A$32)+(MAX('Manual Fitting'!$A$3:$A$32)-MIN('Manual Fitting'!$A$3:$A$17))*(Guts!F65/100)</f>
        <v>0</v>
      </c>
      <c r="AL65" s="46">
        <f t="shared" si="13"/>
        <v>0</v>
      </c>
      <c r="AP65" s="46">
        <f t="shared" si="14"/>
        <v>0</v>
      </c>
      <c r="AQ65" s="48">
        <f t="shared" si="15"/>
        <v>0</v>
      </c>
      <c r="AR65" s="48" t="e">
        <f t="shared" ca="1" si="16"/>
        <v>#N/A</v>
      </c>
    </row>
    <row r="66" spans="1:44">
      <c r="A66" s="56" t="s">
        <v>59</v>
      </c>
      <c r="B66" s="52"/>
      <c r="C66" s="52"/>
      <c r="D66" s="6" t="e">
        <f t="array" ref="D66">MATCH(TRUE,ISNUMBER('Manual Fitting'!$A:$A),0)</f>
        <v>#N/A</v>
      </c>
      <c r="E66" s="6"/>
      <c r="F66" s="34">
        <v>64</v>
      </c>
      <c r="G66" s="46">
        <f t="shared" ca="1" si="0"/>
        <v>5120</v>
      </c>
      <c r="H66" s="34" t="e">
        <f t="shared" si="1"/>
        <v>#N/A</v>
      </c>
      <c r="J66" s="34" t="e">
        <f t="shared" ca="1" si="2"/>
        <v>#N/A</v>
      </c>
      <c r="K66" s="34" t="e">
        <f ca="1">IF($D$32=1,$B$48*J66+$C$48,IF($D$32=2,$B$48*J66^2+$C$48*J66+$D$48,IF($D$32=3,$B$48*J66^3+$C$48*J66^2+$D$48*J66+$E$48,IF($D$32=4,$B$48*J66^'Double Analysis'!$G$13,IF($D$32=5,EXP($C$48)*J66^$B$48,IF($D$32=6,EXP($C$48+J66*$B$48),NA()))))))</f>
        <v>#N/A</v>
      </c>
      <c r="L66" s="34" t="e">
        <f ca="1">IF($D$32=1,$B$54*J66+$C$54,IF($D$32=2,$B$54*J66^2+$C$54*J66+$D$54,IF($D$32=3,$B$54*J66^3+$C$54*J66^2+$D$54*J66+$E$54,IF($D$32=4,$B$54*J66^'Double Analysis'!$G$13,IF($D$32=5,EXP($C$54)*J66^$B$54,IF($D$32=6,EXP($C$54+J66*$B$54),NA()))))))</f>
        <v>#N/A</v>
      </c>
      <c r="N66" s="34" t="e">
        <f t="shared" ca="1" si="3"/>
        <v>#N/A</v>
      </c>
      <c r="O66" s="34" t="e">
        <f t="shared" ca="1" si="4"/>
        <v>#N/A</v>
      </c>
      <c r="P66" s="34" t="e">
        <f t="shared" si="5"/>
        <v>#N/A</v>
      </c>
      <c r="R66" s="34" t="str">
        <f t="shared" si="6"/>
        <v/>
      </c>
      <c r="Y66" s="34" t="str">
        <f t="shared" si="7"/>
        <v xml:space="preserve"> </v>
      </c>
      <c r="Z66" s="34" t="e">
        <f t="shared" ca="1" si="8"/>
        <v>#N/A</v>
      </c>
      <c r="AA66" s="34" t="e">
        <f t="array" aca="1" ref="AA66" ca="1">IF(ISNUMBER(Z66),INDEX(DA_y1data,MATCH(Z66,$Y$2:$Y$102,0)),NA())</f>
        <v>#N/A</v>
      </c>
      <c r="AB66" s="34" t="e">
        <f t="shared" si="9"/>
        <v>#N/A</v>
      </c>
      <c r="AC66" s="34" t="str">
        <f t="shared" si="10"/>
        <v xml:space="preserve"> </v>
      </c>
      <c r="AD66" s="34" t="e">
        <f t="shared" ca="1" si="11"/>
        <v>#N/A</v>
      </c>
      <c r="AE66" s="34" t="e">
        <f t="array" aca="1" ref="AE66" ca="1">IF(ISNUMBER(AD66),INDEX(DA_y2data,MATCH(AD66,$AC$2:$AC$102,0)),NA())</f>
        <v>#N/A</v>
      </c>
      <c r="AF66" s="34" t="e">
        <f t="shared" si="12"/>
        <v>#N/A</v>
      </c>
      <c r="AK66" s="46">
        <f>MIN('Manual Fitting'!$A$3:$A$32)+(MAX('Manual Fitting'!$A$3:$A$32)-MIN('Manual Fitting'!$A$3:$A$17))*(Guts!F66/100)</f>
        <v>0</v>
      </c>
      <c r="AL66" s="46">
        <f t="shared" si="13"/>
        <v>0</v>
      </c>
      <c r="AP66" s="46">
        <f t="shared" si="14"/>
        <v>0</v>
      </c>
      <c r="AQ66" s="48">
        <f t="shared" si="15"/>
        <v>0</v>
      </c>
      <c r="AR66" s="48" t="e">
        <f t="shared" ca="1" si="16"/>
        <v>#N/A</v>
      </c>
    </row>
    <row r="67" spans="1:44">
      <c r="A67" s="56" t="s">
        <v>62</v>
      </c>
      <c r="B67" s="52"/>
      <c r="C67" s="52"/>
      <c r="D67" s="6" t="e">
        <f t="array" ref="D67">MATCH(TRUE,ISNUMBER('Manual Fitting'!$B:$B),0)</f>
        <v>#N/A</v>
      </c>
      <c r="E67" s="6"/>
      <c r="F67" s="34">
        <v>65</v>
      </c>
      <c r="G67" s="46">
        <f t="shared" ca="1" si="0"/>
        <v>5200</v>
      </c>
      <c r="H67" s="34" t="e">
        <f t="shared" si="1"/>
        <v>#N/A</v>
      </c>
      <c r="J67" s="34" t="e">
        <f t="shared" ca="1" si="2"/>
        <v>#N/A</v>
      </c>
      <c r="K67" s="34" t="e">
        <f ca="1">IF($D$32=1,$B$48*J67+$C$48,IF($D$32=2,$B$48*J67^2+$C$48*J67+$D$48,IF($D$32=3,$B$48*J67^3+$C$48*J67^2+$D$48*J67+$E$48,IF($D$32=4,$B$48*J67^'Double Analysis'!$G$13,IF($D$32=5,EXP($C$48)*J67^$B$48,IF($D$32=6,EXP($C$48+J67*$B$48),NA()))))))</f>
        <v>#N/A</v>
      </c>
      <c r="L67" s="34" t="e">
        <f ca="1">IF($D$32=1,$B$54*J67+$C$54,IF($D$32=2,$B$54*J67^2+$C$54*J67+$D$54,IF($D$32=3,$B$54*J67^3+$C$54*J67^2+$D$54*J67+$E$54,IF($D$32=4,$B$54*J67^'Double Analysis'!$G$13,IF($D$32=5,EXP($C$54)*J67^$B$54,IF($D$32=6,EXP($C$54+J67*$B$54),NA()))))))</f>
        <v>#N/A</v>
      </c>
      <c r="N67" s="34" t="e">
        <f t="shared" ca="1" si="3"/>
        <v>#N/A</v>
      </c>
      <c r="O67" s="34" t="e">
        <f t="shared" ca="1" si="4"/>
        <v>#N/A</v>
      </c>
      <c r="P67" s="34" t="e">
        <f t="shared" si="5"/>
        <v>#N/A</v>
      </c>
      <c r="R67" s="34" t="str">
        <f t="shared" si="6"/>
        <v/>
      </c>
      <c r="Y67" s="34" t="str">
        <f t="shared" si="7"/>
        <v xml:space="preserve"> </v>
      </c>
      <c r="Z67" s="34" t="e">
        <f t="shared" ca="1" si="8"/>
        <v>#N/A</v>
      </c>
      <c r="AA67" s="34" t="e">
        <f t="array" aca="1" ref="AA67" ca="1">IF(ISNUMBER(Z67),INDEX(DA_y1data,MATCH(Z67,$Y$2:$Y$102,0)),NA())</f>
        <v>#N/A</v>
      </c>
      <c r="AB67" s="34" t="e">
        <f t="shared" si="9"/>
        <v>#N/A</v>
      </c>
      <c r="AC67" s="34" t="str">
        <f t="shared" si="10"/>
        <v xml:space="preserve"> </v>
      </c>
      <c r="AD67" s="34" t="e">
        <f t="shared" ca="1" si="11"/>
        <v>#N/A</v>
      </c>
      <c r="AE67" s="34" t="e">
        <f t="array" aca="1" ref="AE67" ca="1">IF(ISNUMBER(AD67),INDEX(DA_y2data,MATCH(AD67,$AC$2:$AC$102,0)),NA())</f>
        <v>#N/A</v>
      </c>
      <c r="AF67" s="34" t="e">
        <f t="shared" si="12"/>
        <v>#N/A</v>
      </c>
      <c r="AK67" s="46">
        <f>MIN('Manual Fitting'!$A$3:$A$32)+(MAX('Manual Fitting'!$A$3:$A$32)-MIN('Manual Fitting'!$A$3:$A$17))*(Guts!F67/100)</f>
        <v>0</v>
      </c>
      <c r="AL67" s="46">
        <f t="shared" si="13"/>
        <v>0</v>
      </c>
      <c r="AP67" s="46">
        <f t="shared" si="14"/>
        <v>0</v>
      </c>
      <c r="AQ67" s="48">
        <f t="shared" si="15"/>
        <v>0</v>
      </c>
      <c r="AR67" s="48" t="e">
        <f t="shared" ca="1" si="16"/>
        <v>#N/A</v>
      </c>
    </row>
    <row r="68" spans="1:44">
      <c r="A68" s="56" t="s">
        <v>65</v>
      </c>
      <c r="B68" s="52"/>
      <c r="C68" s="52"/>
      <c r="D68" s="49" t="e">
        <f>MAX(D66:D67)</f>
        <v>#N/A</v>
      </c>
      <c r="E68" s="6"/>
      <c r="F68" s="34">
        <v>66</v>
      </c>
      <c r="G68" s="46">
        <f t="shared" ca="1" si="0"/>
        <v>5280</v>
      </c>
      <c r="H68" s="34" t="e">
        <f t="shared" si="1"/>
        <v>#N/A</v>
      </c>
      <c r="J68" s="34" t="e">
        <f t="shared" ca="1" si="2"/>
        <v>#N/A</v>
      </c>
      <c r="K68" s="34" t="e">
        <f ca="1">IF($D$32=1,$B$48*J68+$C$48,IF($D$32=2,$B$48*J68^2+$C$48*J68+$D$48,IF($D$32=3,$B$48*J68^3+$C$48*J68^2+$D$48*J68+$E$48,IF($D$32=4,$B$48*J68^'Double Analysis'!$G$13,IF($D$32=5,EXP($C$48)*J68^$B$48,IF($D$32=6,EXP($C$48+J68*$B$48),NA()))))))</f>
        <v>#N/A</v>
      </c>
      <c r="L68" s="34" t="e">
        <f ca="1">IF($D$32=1,$B$54*J68+$C$54,IF($D$32=2,$B$54*J68^2+$C$54*J68+$D$54,IF($D$32=3,$B$54*J68^3+$C$54*J68^2+$D$54*J68+$E$54,IF($D$32=4,$B$54*J68^'Double Analysis'!$G$13,IF($D$32=5,EXP($C$54)*J68^$B$54,IF($D$32=6,EXP($C$54+J68*$B$54),NA()))))))</f>
        <v>#N/A</v>
      </c>
      <c r="N68" s="34" t="e">
        <f t="shared" ca="1" si="3"/>
        <v>#N/A</v>
      </c>
      <c r="O68" s="34" t="e">
        <f t="shared" ca="1" si="4"/>
        <v>#N/A</v>
      </c>
      <c r="P68" s="34" t="e">
        <f t="shared" si="5"/>
        <v>#N/A</v>
      </c>
      <c r="R68" s="34" t="str">
        <f t="shared" si="6"/>
        <v/>
      </c>
      <c r="Y68" s="34" t="str">
        <f t="shared" si="7"/>
        <v xml:space="preserve"> </v>
      </c>
      <c r="Z68" s="34" t="e">
        <f t="shared" ca="1" si="8"/>
        <v>#N/A</v>
      </c>
      <c r="AA68" s="34" t="e">
        <f t="array" aca="1" ref="AA68" ca="1">IF(ISNUMBER(Z68),INDEX(DA_y1data,MATCH(Z68,$Y$2:$Y$102,0)),NA())</f>
        <v>#N/A</v>
      </c>
      <c r="AB68" s="34" t="e">
        <f t="shared" si="9"/>
        <v>#N/A</v>
      </c>
      <c r="AC68" s="34" t="str">
        <f t="shared" si="10"/>
        <v xml:space="preserve"> </v>
      </c>
      <c r="AD68" s="34" t="e">
        <f t="shared" ca="1" si="11"/>
        <v>#N/A</v>
      </c>
      <c r="AE68" s="34" t="e">
        <f t="array" aca="1" ref="AE68" ca="1">IF(ISNUMBER(AD68),INDEX(DA_y2data,MATCH(AD68,$AC$2:$AC$102,0)),NA())</f>
        <v>#N/A</v>
      </c>
      <c r="AF68" s="34" t="e">
        <f t="shared" si="12"/>
        <v>#N/A</v>
      </c>
      <c r="AK68" s="46">
        <f>MIN('Manual Fitting'!$A$3:$A$32)+(MAX('Manual Fitting'!$A$3:$A$32)-MIN('Manual Fitting'!$A$3:$A$17))*(Guts!F68/100)</f>
        <v>0</v>
      </c>
      <c r="AL68" s="46">
        <f t="shared" si="13"/>
        <v>0</v>
      </c>
      <c r="AP68" s="46">
        <f t="shared" si="14"/>
        <v>0</v>
      </c>
      <c r="AQ68" s="48">
        <f t="shared" si="15"/>
        <v>0</v>
      </c>
      <c r="AR68" s="48" t="e">
        <f t="shared" ca="1" si="16"/>
        <v>#N/A</v>
      </c>
    </row>
    <row r="69" spans="1:44">
      <c r="A69" s="6"/>
      <c r="B69" s="6"/>
      <c r="C69" s="6"/>
      <c r="D69" s="6"/>
      <c r="E69" s="6"/>
      <c r="F69" s="34">
        <v>67</v>
      </c>
      <c r="G69" s="46">
        <f t="shared" ca="1" si="0"/>
        <v>5360</v>
      </c>
      <c r="H69" s="34" t="e">
        <f t="shared" si="1"/>
        <v>#N/A</v>
      </c>
      <c r="J69" s="34" t="e">
        <f t="shared" ca="1" si="2"/>
        <v>#N/A</v>
      </c>
      <c r="K69" s="34" t="e">
        <f ca="1">IF($D$32=1,$B$48*J69+$C$48,IF($D$32=2,$B$48*J69^2+$C$48*J69+$D$48,IF($D$32=3,$B$48*J69^3+$C$48*J69^2+$D$48*J69+$E$48,IF($D$32=4,$B$48*J69^'Double Analysis'!$G$13,IF($D$32=5,EXP($C$48)*J69^$B$48,IF($D$32=6,EXP($C$48+J69*$B$48),NA()))))))</f>
        <v>#N/A</v>
      </c>
      <c r="L69" s="34" t="e">
        <f ca="1">IF($D$32=1,$B$54*J69+$C$54,IF($D$32=2,$B$54*J69^2+$C$54*J69+$D$54,IF($D$32=3,$B$54*J69^3+$C$54*J69^2+$D$54*J69+$E$54,IF($D$32=4,$B$54*J69^'Double Analysis'!$G$13,IF($D$32=5,EXP($C$54)*J69^$B$54,IF($D$32=6,EXP($C$54+J69*$B$54),NA()))))))</f>
        <v>#N/A</v>
      </c>
      <c r="N69" s="34" t="e">
        <f t="shared" ca="1" si="3"/>
        <v>#N/A</v>
      </c>
      <c r="O69" s="34" t="e">
        <f t="shared" ca="1" si="4"/>
        <v>#N/A</v>
      </c>
      <c r="P69" s="34" t="e">
        <f t="shared" si="5"/>
        <v>#N/A</v>
      </c>
      <c r="R69" s="34" t="str">
        <f t="shared" si="6"/>
        <v/>
      </c>
      <c r="Y69" s="34" t="str">
        <f t="shared" si="7"/>
        <v xml:space="preserve"> </v>
      </c>
      <c r="Z69" s="34" t="e">
        <f t="shared" ca="1" si="8"/>
        <v>#N/A</v>
      </c>
      <c r="AA69" s="34" t="e">
        <f t="array" aca="1" ref="AA69" ca="1">IF(ISNUMBER(Z69),INDEX(DA_y1data,MATCH(Z69,$Y$2:$Y$102,0)),NA())</f>
        <v>#N/A</v>
      </c>
      <c r="AB69" s="34" t="e">
        <f t="shared" si="9"/>
        <v>#N/A</v>
      </c>
      <c r="AC69" s="34" t="str">
        <f t="shared" si="10"/>
        <v xml:space="preserve"> </v>
      </c>
      <c r="AD69" s="34" t="e">
        <f t="shared" ca="1" si="11"/>
        <v>#N/A</v>
      </c>
      <c r="AE69" s="34" t="e">
        <f t="array" aca="1" ref="AE69" ca="1">IF(ISNUMBER(AD69),INDEX(DA_y2data,MATCH(AD69,$AC$2:$AC$102,0)),NA())</f>
        <v>#N/A</v>
      </c>
      <c r="AF69" s="34" t="e">
        <f t="shared" si="12"/>
        <v>#N/A</v>
      </c>
      <c r="AK69" s="46">
        <f>MIN('Manual Fitting'!$A$3:$A$32)+(MAX('Manual Fitting'!$A$3:$A$32)-MIN('Manual Fitting'!$A$3:$A$17))*(Guts!F69/100)</f>
        <v>0</v>
      </c>
      <c r="AL69" s="46">
        <f t="shared" si="13"/>
        <v>0</v>
      </c>
      <c r="AP69" s="46">
        <f t="shared" si="14"/>
        <v>0</v>
      </c>
      <c r="AQ69" s="48">
        <f t="shared" si="15"/>
        <v>0</v>
      </c>
      <c r="AR69" s="48" t="e">
        <f t="shared" ca="1" si="16"/>
        <v>#N/A</v>
      </c>
    </row>
    <row r="70" spans="1:44">
      <c r="A70" s="6"/>
      <c r="B70" s="6"/>
      <c r="C70" s="6"/>
      <c r="D70" s="6"/>
      <c r="E70" s="6"/>
      <c r="F70" s="34">
        <v>68</v>
      </c>
      <c r="G70" s="46">
        <f t="shared" ca="1" si="0"/>
        <v>5440</v>
      </c>
      <c r="H70" s="34" t="e">
        <f t="shared" si="1"/>
        <v>#N/A</v>
      </c>
      <c r="J70" s="34" t="e">
        <f t="shared" ca="1" si="2"/>
        <v>#N/A</v>
      </c>
      <c r="K70" s="34" t="e">
        <f ca="1">IF($D$32=1,$B$48*J70+$C$48,IF($D$32=2,$B$48*J70^2+$C$48*J70+$D$48,IF($D$32=3,$B$48*J70^3+$C$48*J70^2+$D$48*J70+$E$48,IF($D$32=4,$B$48*J70^'Double Analysis'!$G$13,IF($D$32=5,EXP($C$48)*J70^$B$48,IF($D$32=6,EXP($C$48+J70*$B$48),NA()))))))</f>
        <v>#N/A</v>
      </c>
      <c r="L70" s="34" t="e">
        <f ca="1">IF($D$32=1,$B$54*J70+$C$54,IF($D$32=2,$B$54*J70^2+$C$54*J70+$D$54,IF($D$32=3,$B$54*J70^3+$C$54*J70^2+$D$54*J70+$E$54,IF($D$32=4,$B$54*J70^'Double Analysis'!$G$13,IF($D$32=5,EXP($C$54)*J70^$B$54,IF($D$32=6,EXP($C$54+J70*$B$54),NA()))))))</f>
        <v>#N/A</v>
      </c>
      <c r="N70" s="34" t="e">
        <f t="shared" ca="1" si="3"/>
        <v>#N/A</v>
      </c>
      <c r="O70" s="34" t="e">
        <f t="shared" ca="1" si="4"/>
        <v>#N/A</v>
      </c>
      <c r="P70" s="34" t="e">
        <f t="shared" si="5"/>
        <v>#N/A</v>
      </c>
      <c r="R70" s="34" t="str">
        <f t="shared" si="6"/>
        <v/>
      </c>
      <c r="Y70" s="34" t="str">
        <f t="shared" si="7"/>
        <v xml:space="preserve"> </v>
      </c>
      <c r="Z70" s="34" t="e">
        <f t="shared" ca="1" si="8"/>
        <v>#N/A</v>
      </c>
      <c r="AA70" s="34" t="e">
        <f t="array" aca="1" ref="AA70" ca="1">IF(ISNUMBER(Z70),INDEX(DA_y1data,MATCH(Z70,$Y$2:$Y$102,0)),NA())</f>
        <v>#N/A</v>
      </c>
      <c r="AB70" s="34" t="e">
        <f t="shared" si="9"/>
        <v>#N/A</v>
      </c>
      <c r="AC70" s="34" t="str">
        <f t="shared" si="10"/>
        <v xml:space="preserve"> </v>
      </c>
      <c r="AD70" s="34" t="e">
        <f t="shared" ca="1" si="11"/>
        <v>#N/A</v>
      </c>
      <c r="AE70" s="34" t="e">
        <f t="array" aca="1" ref="AE70" ca="1">IF(ISNUMBER(AD70),INDEX(DA_y2data,MATCH(AD70,$AC$2:$AC$102,0)),NA())</f>
        <v>#N/A</v>
      </c>
      <c r="AF70" s="34" t="e">
        <f t="shared" si="12"/>
        <v>#N/A</v>
      </c>
      <c r="AK70" s="46">
        <f>MIN('Manual Fitting'!$A$3:$A$32)+(MAX('Manual Fitting'!$A$3:$A$32)-MIN('Manual Fitting'!$A$3:$A$17))*(Guts!F70/100)</f>
        <v>0</v>
      </c>
      <c r="AL70" s="46">
        <f t="shared" si="13"/>
        <v>0</v>
      </c>
      <c r="AP70" s="46">
        <f t="shared" si="14"/>
        <v>0</v>
      </c>
      <c r="AQ70" s="48">
        <f t="shared" si="15"/>
        <v>0</v>
      </c>
      <c r="AR70" s="48" t="e">
        <f t="shared" ca="1" si="16"/>
        <v>#N/A</v>
      </c>
    </row>
    <row r="71" spans="1:44">
      <c r="A71" s="6"/>
      <c r="B71" s="6"/>
      <c r="C71" s="6"/>
      <c r="D71" s="6"/>
      <c r="E71" s="6"/>
      <c r="F71" s="34">
        <v>69</v>
      </c>
      <c r="G71" s="46">
        <f t="shared" ca="1" si="0"/>
        <v>5520</v>
      </c>
      <c r="H71" s="34" t="e">
        <f t="shared" si="1"/>
        <v>#N/A</v>
      </c>
      <c r="J71" s="34" t="e">
        <f t="shared" ca="1" si="2"/>
        <v>#N/A</v>
      </c>
      <c r="K71" s="34" t="e">
        <f ca="1">IF($D$32=1,$B$48*J71+$C$48,IF($D$32=2,$B$48*J71^2+$C$48*J71+$D$48,IF($D$32=3,$B$48*J71^3+$C$48*J71^2+$D$48*J71+$E$48,IF($D$32=4,$B$48*J71^'Double Analysis'!$G$13,IF($D$32=5,EXP($C$48)*J71^$B$48,IF($D$32=6,EXP($C$48+J71*$B$48),NA()))))))</f>
        <v>#N/A</v>
      </c>
      <c r="L71" s="34" t="e">
        <f ca="1">IF($D$32=1,$B$54*J71+$C$54,IF($D$32=2,$B$54*J71^2+$C$54*J71+$D$54,IF($D$32=3,$B$54*J71^3+$C$54*J71^2+$D$54*J71+$E$54,IF($D$32=4,$B$54*J71^'Double Analysis'!$G$13,IF($D$32=5,EXP($C$54)*J71^$B$54,IF($D$32=6,EXP($C$54+J71*$B$54),NA()))))))</f>
        <v>#N/A</v>
      </c>
      <c r="N71" s="34" t="e">
        <f t="shared" ca="1" si="3"/>
        <v>#N/A</v>
      </c>
      <c r="O71" s="34" t="e">
        <f t="shared" ca="1" si="4"/>
        <v>#N/A</v>
      </c>
      <c r="P71" s="34" t="e">
        <f t="shared" si="5"/>
        <v>#N/A</v>
      </c>
      <c r="R71" s="34" t="str">
        <f t="shared" si="6"/>
        <v/>
      </c>
      <c r="Y71" s="34" t="str">
        <f t="shared" si="7"/>
        <v xml:space="preserve"> </v>
      </c>
      <c r="Z71" s="34" t="e">
        <f t="shared" ca="1" si="8"/>
        <v>#N/A</v>
      </c>
      <c r="AA71" s="34" t="e">
        <f t="array" aca="1" ref="AA71" ca="1">IF(ISNUMBER(Z71),INDEX(DA_y1data,MATCH(Z71,$Y$2:$Y$102,0)),NA())</f>
        <v>#N/A</v>
      </c>
      <c r="AB71" s="34" t="e">
        <f t="shared" si="9"/>
        <v>#N/A</v>
      </c>
      <c r="AC71" s="34" t="str">
        <f t="shared" si="10"/>
        <v xml:space="preserve"> </v>
      </c>
      <c r="AD71" s="34" t="e">
        <f t="shared" ca="1" si="11"/>
        <v>#N/A</v>
      </c>
      <c r="AE71" s="34" t="e">
        <f t="array" aca="1" ref="AE71" ca="1">IF(ISNUMBER(AD71),INDEX(DA_y2data,MATCH(AD71,$AC$2:$AC$102,0)),NA())</f>
        <v>#N/A</v>
      </c>
      <c r="AF71" s="34" t="e">
        <f t="shared" si="12"/>
        <v>#N/A</v>
      </c>
      <c r="AK71" s="46">
        <f>MIN('Manual Fitting'!$A$3:$A$32)+(MAX('Manual Fitting'!$A$3:$A$32)-MIN('Manual Fitting'!$A$3:$A$17))*(Guts!F71/100)</f>
        <v>0</v>
      </c>
      <c r="AL71" s="46">
        <f t="shared" si="13"/>
        <v>0</v>
      </c>
      <c r="AP71" s="46">
        <f t="shared" si="14"/>
        <v>0</v>
      </c>
      <c r="AQ71" s="48">
        <f t="shared" si="15"/>
        <v>0</v>
      </c>
      <c r="AR71" s="48" t="e">
        <f t="shared" ca="1" si="16"/>
        <v>#N/A</v>
      </c>
    </row>
    <row r="72" spans="1:44">
      <c r="A72" s="6"/>
      <c r="B72" s="6"/>
      <c r="C72" s="6"/>
      <c r="D72" s="6"/>
      <c r="E72" s="6"/>
      <c r="F72" s="34">
        <v>70</v>
      </c>
      <c r="G72" s="46">
        <f t="shared" ca="1" si="0"/>
        <v>5600</v>
      </c>
      <c r="H72" s="34" t="e">
        <f t="shared" si="1"/>
        <v>#N/A</v>
      </c>
      <c r="J72" s="34" t="e">
        <f t="shared" ca="1" si="2"/>
        <v>#N/A</v>
      </c>
      <c r="K72" s="34" t="e">
        <f ca="1">IF($D$32=1,$B$48*J72+$C$48,IF($D$32=2,$B$48*J72^2+$C$48*J72+$D$48,IF($D$32=3,$B$48*J72^3+$C$48*J72^2+$D$48*J72+$E$48,IF($D$32=4,$B$48*J72^'Double Analysis'!$G$13,IF($D$32=5,EXP($C$48)*J72^$B$48,IF($D$32=6,EXP($C$48+J72*$B$48),NA()))))))</f>
        <v>#N/A</v>
      </c>
      <c r="L72" s="34" t="e">
        <f ca="1">IF($D$32=1,$B$54*J72+$C$54,IF($D$32=2,$B$54*J72^2+$C$54*J72+$D$54,IF($D$32=3,$B$54*J72^3+$C$54*J72^2+$D$54*J72+$E$54,IF($D$32=4,$B$54*J72^'Double Analysis'!$G$13,IF($D$32=5,EXP($C$54)*J72^$B$54,IF($D$32=6,EXP($C$54+J72*$B$54),NA()))))))</f>
        <v>#N/A</v>
      </c>
      <c r="N72" s="34" t="e">
        <f t="shared" ca="1" si="3"/>
        <v>#N/A</v>
      </c>
      <c r="O72" s="34" t="e">
        <f t="shared" ca="1" si="4"/>
        <v>#N/A</v>
      </c>
      <c r="P72" s="34" t="e">
        <f t="shared" si="5"/>
        <v>#N/A</v>
      </c>
      <c r="R72" s="34" t="str">
        <f t="shared" si="6"/>
        <v/>
      </c>
      <c r="Y72" s="34" t="str">
        <f t="shared" si="7"/>
        <v xml:space="preserve"> </v>
      </c>
      <c r="Z72" s="34" t="e">
        <f t="shared" ca="1" si="8"/>
        <v>#N/A</v>
      </c>
      <c r="AA72" s="34" t="e">
        <f t="array" aca="1" ref="AA72" ca="1">IF(ISNUMBER(Z72),INDEX(DA_y1data,MATCH(Z72,$Y$2:$Y$102,0)),NA())</f>
        <v>#N/A</v>
      </c>
      <c r="AB72" s="34" t="e">
        <f t="shared" si="9"/>
        <v>#N/A</v>
      </c>
      <c r="AC72" s="34" t="str">
        <f t="shared" si="10"/>
        <v xml:space="preserve"> </v>
      </c>
      <c r="AD72" s="34" t="e">
        <f t="shared" ca="1" si="11"/>
        <v>#N/A</v>
      </c>
      <c r="AE72" s="34" t="e">
        <f t="array" aca="1" ref="AE72" ca="1">IF(ISNUMBER(AD72),INDEX(DA_y2data,MATCH(AD72,$AC$2:$AC$102,0)),NA())</f>
        <v>#N/A</v>
      </c>
      <c r="AF72" s="34" t="e">
        <f t="shared" si="12"/>
        <v>#N/A</v>
      </c>
      <c r="AK72" s="46">
        <f>MIN('Manual Fitting'!$A$3:$A$32)+(MAX('Manual Fitting'!$A$3:$A$32)-MIN('Manual Fitting'!$A$3:$A$17))*(Guts!F72/100)</f>
        <v>0</v>
      </c>
      <c r="AL72" s="46">
        <f t="shared" si="13"/>
        <v>0</v>
      </c>
      <c r="AP72" s="46">
        <f t="shared" si="14"/>
        <v>0</v>
      </c>
      <c r="AQ72" s="48">
        <f t="shared" si="15"/>
        <v>0</v>
      </c>
      <c r="AR72" s="48" t="e">
        <f t="shared" ca="1" si="16"/>
        <v>#N/A</v>
      </c>
    </row>
    <row r="73" spans="1:44">
      <c r="A73" s="6"/>
      <c r="B73" s="6"/>
      <c r="C73" s="6"/>
      <c r="D73" s="6"/>
      <c r="E73" s="6"/>
      <c r="F73" s="34">
        <v>71</v>
      </c>
      <c r="G73" s="46">
        <f t="shared" ca="1" si="0"/>
        <v>5680</v>
      </c>
      <c r="H73" s="34" t="e">
        <f t="shared" si="1"/>
        <v>#N/A</v>
      </c>
      <c r="J73" s="34" t="e">
        <f t="shared" ca="1" si="2"/>
        <v>#N/A</v>
      </c>
      <c r="K73" s="34" t="e">
        <f ca="1">IF($D$32=1,$B$48*J73+$C$48,IF($D$32=2,$B$48*J73^2+$C$48*J73+$D$48,IF($D$32=3,$B$48*J73^3+$C$48*J73^2+$D$48*J73+$E$48,IF($D$32=4,$B$48*J73^'Double Analysis'!$G$13,IF($D$32=5,EXP($C$48)*J73^$B$48,IF($D$32=6,EXP($C$48+J73*$B$48),NA()))))))</f>
        <v>#N/A</v>
      </c>
      <c r="L73" s="34" t="e">
        <f ca="1">IF($D$32=1,$B$54*J73+$C$54,IF($D$32=2,$B$54*J73^2+$C$54*J73+$D$54,IF($D$32=3,$B$54*J73^3+$C$54*J73^2+$D$54*J73+$E$54,IF($D$32=4,$B$54*J73^'Double Analysis'!$G$13,IF($D$32=5,EXP($C$54)*J73^$B$54,IF($D$32=6,EXP($C$54+J73*$B$54),NA()))))))</f>
        <v>#N/A</v>
      </c>
      <c r="N73" s="34" t="e">
        <f t="shared" ca="1" si="3"/>
        <v>#N/A</v>
      </c>
      <c r="O73" s="34" t="e">
        <f t="shared" ca="1" si="4"/>
        <v>#N/A</v>
      </c>
      <c r="P73" s="34" t="e">
        <f t="shared" si="5"/>
        <v>#N/A</v>
      </c>
      <c r="R73" s="34" t="str">
        <f t="shared" si="6"/>
        <v/>
      </c>
      <c r="Y73" s="34" t="str">
        <f t="shared" si="7"/>
        <v xml:space="preserve"> </v>
      </c>
      <c r="Z73" s="34" t="e">
        <f t="shared" ca="1" si="8"/>
        <v>#N/A</v>
      </c>
      <c r="AA73" s="34" t="e">
        <f t="array" aca="1" ref="AA73" ca="1">IF(ISNUMBER(Z73),INDEX(DA_y1data,MATCH(Z73,$Y$2:$Y$102,0)),NA())</f>
        <v>#N/A</v>
      </c>
      <c r="AB73" s="34" t="e">
        <f t="shared" si="9"/>
        <v>#N/A</v>
      </c>
      <c r="AC73" s="34" t="str">
        <f t="shared" si="10"/>
        <v xml:space="preserve"> </v>
      </c>
      <c r="AD73" s="34" t="e">
        <f t="shared" ca="1" si="11"/>
        <v>#N/A</v>
      </c>
      <c r="AE73" s="34" t="e">
        <f t="array" aca="1" ref="AE73" ca="1">IF(ISNUMBER(AD73),INDEX(DA_y2data,MATCH(AD73,$AC$2:$AC$102,0)),NA())</f>
        <v>#N/A</v>
      </c>
      <c r="AF73" s="34" t="e">
        <f t="shared" si="12"/>
        <v>#N/A</v>
      </c>
      <c r="AK73" s="46">
        <f>MIN('Manual Fitting'!$A$3:$A$32)+(MAX('Manual Fitting'!$A$3:$A$32)-MIN('Manual Fitting'!$A$3:$A$17))*(Guts!F73/100)</f>
        <v>0</v>
      </c>
      <c r="AL73" s="46">
        <f t="shared" si="13"/>
        <v>0</v>
      </c>
      <c r="AP73" s="46">
        <f t="shared" si="14"/>
        <v>0</v>
      </c>
      <c r="AQ73" s="48">
        <f t="shared" si="15"/>
        <v>0</v>
      </c>
      <c r="AR73" s="48" t="e">
        <f t="shared" ca="1" si="16"/>
        <v>#N/A</v>
      </c>
    </row>
    <row r="74" spans="1:44">
      <c r="A74" s="6"/>
      <c r="B74" s="6"/>
      <c r="C74" s="6"/>
      <c r="D74" s="6"/>
      <c r="E74" s="6"/>
      <c r="F74" s="34">
        <v>72</v>
      </c>
      <c r="G74" s="46">
        <f t="shared" ca="1" si="0"/>
        <v>5760</v>
      </c>
      <c r="H74" s="34" t="e">
        <f t="shared" si="1"/>
        <v>#N/A</v>
      </c>
      <c r="J74" s="34" t="e">
        <f t="shared" ca="1" si="2"/>
        <v>#N/A</v>
      </c>
      <c r="K74" s="34" t="e">
        <f ca="1">IF($D$32=1,$B$48*J74+$C$48,IF($D$32=2,$B$48*J74^2+$C$48*J74+$D$48,IF($D$32=3,$B$48*J74^3+$C$48*J74^2+$D$48*J74+$E$48,IF($D$32=4,$B$48*J74^'Double Analysis'!$G$13,IF($D$32=5,EXP($C$48)*J74^$B$48,IF($D$32=6,EXP($C$48+J74*$B$48),NA()))))))</f>
        <v>#N/A</v>
      </c>
      <c r="L74" s="34" t="e">
        <f ca="1">IF($D$32=1,$B$54*J74+$C$54,IF($D$32=2,$B$54*J74^2+$C$54*J74+$D$54,IF($D$32=3,$B$54*J74^3+$C$54*J74^2+$D$54*J74+$E$54,IF($D$32=4,$B$54*J74^'Double Analysis'!$G$13,IF($D$32=5,EXP($C$54)*J74^$B$54,IF($D$32=6,EXP($C$54+J74*$B$54),NA()))))))</f>
        <v>#N/A</v>
      </c>
      <c r="N74" s="34" t="e">
        <f t="shared" ca="1" si="3"/>
        <v>#N/A</v>
      </c>
      <c r="O74" s="34" t="e">
        <f t="shared" ca="1" si="4"/>
        <v>#N/A</v>
      </c>
      <c r="P74" s="34" t="e">
        <f t="shared" si="5"/>
        <v>#N/A</v>
      </c>
      <c r="R74" s="34" t="str">
        <f t="shared" si="6"/>
        <v/>
      </c>
      <c r="Y74" s="34" t="str">
        <f t="shared" si="7"/>
        <v xml:space="preserve"> </v>
      </c>
      <c r="Z74" s="34" t="e">
        <f t="shared" ca="1" si="8"/>
        <v>#N/A</v>
      </c>
      <c r="AA74" s="34" t="e">
        <f t="array" aca="1" ref="AA74" ca="1">IF(ISNUMBER(Z74),INDEX(DA_y1data,MATCH(Z74,$Y$2:$Y$102,0)),NA())</f>
        <v>#N/A</v>
      </c>
      <c r="AB74" s="34" t="e">
        <f t="shared" si="9"/>
        <v>#N/A</v>
      </c>
      <c r="AC74" s="34" t="str">
        <f t="shared" si="10"/>
        <v xml:space="preserve"> </v>
      </c>
      <c r="AD74" s="34" t="e">
        <f t="shared" ca="1" si="11"/>
        <v>#N/A</v>
      </c>
      <c r="AE74" s="34" t="e">
        <f t="array" aca="1" ref="AE74" ca="1">IF(ISNUMBER(AD74),INDEX(DA_y2data,MATCH(AD74,$AC$2:$AC$102,0)),NA())</f>
        <v>#N/A</v>
      </c>
      <c r="AF74" s="34" t="e">
        <f t="shared" si="12"/>
        <v>#N/A</v>
      </c>
      <c r="AK74" s="46">
        <f>MIN('Manual Fitting'!$A$3:$A$32)+(MAX('Manual Fitting'!$A$3:$A$32)-MIN('Manual Fitting'!$A$3:$A$17))*(Guts!F74/100)</f>
        <v>0</v>
      </c>
      <c r="AL74" s="46">
        <f t="shared" si="13"/>
        <v>0</v>
      </c>
      <c r="AP74" s="46">
        <f t="shared" si="14"/>
        <v>0</v>
      </c>
      <c r="AQ74" s="48">
        <f t="shared" si="15"/>
        <v>0</v>
      </c>
      <c r="AR74" s="48" t="e">
        <f t="shared" ca="1" si="16"/>
        <v>#N/A</v>
      </c>
    </row>
    <row r="75" spans="1:44">
      <c r="A75" s="6"/>
      <c r="B75" s="6"/>
      <c r="C75" s="6"/>
      <c r="D75" s="6"/>
      <c r="E75" s="6"/>
      <c r="F75" s="34">
        <v>73</v>
      </c>
      <c r="G75" s="46">
        <f t="shared" ca="1" si="0"/>
        <v>5840</v>
      </c>
      <c r="H75" s="34" t="e">
        <f t="shared" si="1"/>
        <v>#N/A</v>
      </c>
      <c r="J75" s="34" t="e">
        <f t="shared" ca="1" si="2"/>
        <v>#N/A</v>
      </c>
      <c r="K75" s="34" t="e">
        <f ca="1">IF($D$32=1,$B$48*J75+$C$48,IF($D$32=2,$B$48*J75^2+$C$48*J75+$D$48,IF($D$32=3,$B$48*J75^3+$C$48*J75^2+$D$48*J75+$E$48,IF($D$32=4,$B$48*J75^'Double Analysis'!$G$13,IF($D$32=5,EXP($C$48)*J75^$B$48,IF($D$32=6,EXP($C$48+J75*$B$48),NA()))))))</f>
        <v>#N/A</v>
      </c>
      <c r="L75" s="34" t="e">
        <f ca="1">IF($D$32=1,$B$54*J75+$C$54,IF($D$32=2,$B$54*J75^2+$C$54*J75+$D$54,IF($D$32=3,$B$54*J75^3+$C$54*J75^2+$D$54*J75+$E$54,IF($D$32=4,$B$54*J75^'Double Analysis'!$G$13,IF($D$32=5,EXP($C$54)*J75^$B$54,IF($D$32=6,EXP($C$54+J75*$B$54),NA()))))))</f>
        <v>#N/A</v>
      </c>
      <c r="N75" s="34" t="e">
        <f t="shared" ca="1" si="3"/>
        <v>#N/A</v>
      </c>
      <c r="O75" s="34" t="e">
        <f t="shared" ca="1" si="4"/>
        <v>#N/A</v>
      </c>
      <c r="P75" s="34" t="e">
        <f t="shared" si="5"/>
        <v>#N/A</v>
      </c>
      <c r="R75" s="34" t="str">
        <f t="shared" si="6"/>
        <v/>
      </c>
      <c r="Y75" s="34" t="str">
        <f t="shared" si="7"/>
        <v xml:space="preserve"> </v>
      </c>
      <c r="Z75" s="34" t="e">
        <f t="shared" ca="1" si="8"/>
        <v>#N/A</v>
      </c>
      <c r="AA75" s="34" t="e">
        <f t="array" aca="1" ref="AA75" ca="1">IF(ISNUMBER(Z75),INDEX(DA_y1data,MATCH(Z75,$Y$2:$Y$102,0)),NA())</f>
        <v>#N/A</v>
      </c>
      <c r="AB75" s="34" t="e">
        <f t="shared" si="9"/>
        <v>#N/A</v>
      </c>
      <c r="AC75" s="34" t="str">
        <f t="shared" si="10"/>
        <v xml:space="preserve"> </v>
      </c>
      <c r="AD75" s="34" t="e">
        <f t="shared" ca="1" si="11"/>
        <v>#N/A</v>
      </c>
      <c r="AE75" s="34" t="e">
        <f t="array" aca="1" ref="AE75" ca="1">IF(ISNUMBER(AD75),INDEX(DA_y2data,MATCH(AD75,$AC$2:$AC$102,0)),NA())</f>
        <v>#N/A</v>
      </c>
      <c r="AF75" s="34" t="e">
        <f t="shared" si="12"/>
        <v>#N/A</v>
      </c>
      <c r="AK75" s="46">
        <f>MIN('Manual Fitting'!$A$3:$A$32)+(MAX('Manual Fitting'!$A$3:$A$32)-MIN('Manual Fitting'!$A$3:$A$17))*(Guts!F75/100)</f>
        <v>0</v>
      </c>
      <c r="AL75" s="46">
        <f t="shared" si="13"/>
        <v>0</v>
      </c>
      <c r="AP75" s="46">
        <f t="shared" si="14"/>
        <v>0</v>
      </c>
      <c r="AQ75" s="48">
        <f t="shared" si="15"/>
        <v>0</v>
      </c>
      <c r="AR75" s="48" t="e">
        <f t="shared" ca="1" si="16"/>
        <v>#N/A</v>
      </c>
    </row>
    <row r="76" spans="1:44">
      <c r="A76" s="6"/>
      <c r="B76" s="6"/>
      <c r="C76" s="6"/>
      <c r="D76" s="6"/>
      <c r="E76" s="6"/>
      <c r="F76" s="34">
        <v>74</v>
      </c>
      <c r="G76" s="46">
        <f t="shared" ca="1" si="0"/>
        <v>5920</v>
      </c>
      <c r="H76" s="34" t="e">
        <f t="shared" si="1"/>
        <v>#N/A</v>
      </c>
      <c r="J76" s="34" t="e">
        <f t="shared" ca="1" si="2"/>
        <v>#N/A</v>
      </c>
      <c r="K76" s="34" t="e">
        <f ca="1">IF($D$32=1,$B$48*J76+$C$48,IF($D$32=2,$B$48*J76^2+$C$48*J76+$D$48,IF($D$32=3,$B$48*J76^3+$C$48*J76^2+$D$48*J76+$E$48,IF($D$32=4,$B$48*J76^'Double Analysis'!$G$13,IF($D$32=5,EXP($C$48)*J76^$B$48,IF($D$32=6,EXP($C$48+J76*$B$48),NA()))))))</f>
        <v>#N/A</v>
      </c>
      <c r="L76" s="34" t="e">
        <f ca="1">IF($D$32=1,$B$54*J76+$C$54,IF($D$32=2,$B$54*J76^2+$C$54*J76+$D$54,IF($D$32=3,$B$54*J76^3+$C$54*J76^2+$D$54*J76+$E$54,IF($D$32=4,$B$54*J76^'Double Analysis'!$G$13,IF($D$32=5,EXP($C$54)*J76^$B$54,IF($D$32=6,EXP($C$54+J76*$B$54),NA()))))))</f>
        <v>#N/A</v>
      </c>
      <c r="N76" s="34" t="e">
        <f t="shared" ca="1" si="3"/>
        <v>#N/A</v>
      </c>
      <c r="O76" s="34" t="e">
        <f t="shared" ca="1" si="4"/>
        <v>#N/A</v>
      </c>
      <c r="P76" s="34" t="e">
        <f t="shared" si="5"/>
        <v>#N/A</v>
      </c>
      <c r="R76" s="34" t="str">
        <f t="shared" si="6"/>
        <v/>
      </c>
      <c r="Y76" s="34" t="str">
        <f t="shared" si="7"/>
        <v xml:space="preserve"> </v>
      </c>
      <c r="Z76" s="34" t="e">
        <f t="shared" ca="1" si="8"/>
        <v>#N/A</v>
      </c>
      <c r="AA76" s="34" t="e">
        <f t="array" aca="1" ref="AA76" ca="1">IF(ISNUMBER(Z76),INDEX(DA_y1data,MATCH(Z76,$Y$2:$Y$102,0)),NA())</f>
        <v>#N/A</v>
      </c>
      <c r="AB76" s="34" t="e">
        <f t="shared" si="9"/>
        <v>#N/A</v>
      </c>
      <c r="AC76" s="34" t="str">
        <f t="shared" si="10"/>
        <v xml:space="preserve"> </v>
      </c>
      <c r="AD76" s="34" t="e">
        <f t="shared" ca="1" si="11"/>
        <v>#N/A</v>
      </c>
      <c r="AE76" s="34" t="e">
        <f t="array" aca="1" ref="AE76" ca="1">IF(ISNUMBER(AD76),INDEX(DA_y2data,MATCH(AD76,$AC$2:$AC$102,0)),NA())</f>
        <v>#N/A</v>
      </c>
      <c r="AF76" s="34" t="e">
        <f t="shared" si="12"/>
        <v>#N/A</v>
      </c>
      <c r="AK76" s="46">
        <f>MIN('Manual Fitting'!$A$3:$A$32)+(MAX('Manual Fitting'!$A$3:$A$32)-MIN('Manual Fitting'!$A$3:$A$17))*(Guts!F76/100)</f>
        <v>0</v>
      </c>
      <c r="AL76" s="46">
        <f t="shared" si="13"/>
        <v>0</v>
      </c>
      <c r="AP76" s="46">
        <f t="shared" si="14"/>
        <v>0</v>
      </c>
      <c r="AQ76" s="48">
        <f t="shared" si="15"/>
        <v>0</v>
      </c>
      <c r="AR76" s="48" t="e">
        <f t="shared" ca="1" si="16"/>
        <v>#N/A</v>
      </c>
    </row>
    <row r="77" spans="1:44">
      <c r="A77" s="6"/>
      <c r="B77" s="6"/>
      <c r="C77" s="6"/>
      <c r="D77" s="6"/>
      <c r="E77" s="6"/>
      <c r="F77" s="34">
        <v>75</v>
      </c>
      <c r="G77" s="46">
        <f t="shared" ca="1" si="0"/>
        <v>6000</v>
      </c>
      <c r="H77" s="34" t="e">
        <f t="shared" si="1"/>
        <v>#N/A</v>
      </c>
      <c r="J77" s="34" t="e">
        <f t="shared" ca="1" si="2"/>
        <v>#N/A</v>
      </c>
      <c r="K77" s="34" t="e">
        <f ca="1">IF($D$32=1,$B$48*J77+$C$48,IF($D$32=2,$B$48*J77^2+$C$48*J77+$D$48,IF($D$32=3,$B$48*J77^3+$C$48*J77^2+$D$48*J77+$E$48,IF($D$32=4,$B$48*J77^'Double Analysis'!$G$13,IF($D$32=5,EXP($C$48)*J77^$B$48,IF($D$32=6,EXP($C$48+J77*$B$48),NA()))))))</f>
        <v>#N/A</v>
      </c>
      <c r="L77" s="34" t="e">
        <f ca="1">IF($D$32=1,$B$54*J77+$C$54,IF($D$32=2,$B$54*J77^2+$C$54*J77+$D$54,IF($D$32=3,$B$54*J77^3+$C$54*J77^2+$D$54*J77+$E$54,IF($D$32=4,$B$54*J77^'Double Analysis'!$G$13,IF($D$32=5,EXP($C$54)*J77^$B$54,IF($D$32=6,EXP($C$54+J77*$B$54),NA()))))))</f>
        <v>#N/A</v>
      </c>
      <c r="N77" s="34" t="e">
        <f t="shared" ca="1" si="3"/>
        <v>#N/A</v>
      </c>
      <c r="O77" s="34" t="e">
        <f t="shared" ca="1" si="4"/>
        <v>#N/A</v>
      </c>
      <c r="P77" s="34" t="e">
        <f t="shared" si="5"/>
        <v>#N/A</v>
      </c>
      <c r="R77" s="34" t="str">
        <f t="shared" si="6"/>
        <v/>
      </c>
      <c r="Y77" s="34" t="str">
        <f t="shared" si="7"/>
        <v xml:space="preserve"> </v>
      </c>
      <c r="Z77" s="34" t="e">
        <f t="shared" ca="1" si="8"/>
        <v>#N/A</v>
      </c>
      <c r="AA77" s="34" t="e">
        <f t="array" aca="1" ref="AA77" ca="1">IF(ISNUMBER(Z77),INDEX(DA_y1data,MATCH(Z77,$Y$2:$Y$102,0)),NA())</f>
        <v>#N/A</v>
      </c>
      <c r="AB77" s="34" t="e">
        <f t="shared" si="9"/>
        <v>#N/A</v>
      </c>
      <c r="AC77" s="34" t="str">
        <f t="shared" si="10"/>
        <v xml:space="preserve"> </v>
      </c>
      <c r="AD77" s="34" t="e">
        <f t="shared" ca="1" si="11"/>
        <v>#N/A</v>
      </c>
      <c r="AE77" s="34" t="e">
        <f t="array" aca="1" ref="AE77" ca="1">IF(ISNUMBER(AD77),INDEX(DA_y2data,MATCH(AD77,$AC$2:$AC$102,0)),NA())</f>
        <v>#N/A</v>
      </c>
      <c r="AF77" s="34" t="e">
        <f t="shared" si="12"/>
        <v>#N/A</v>
      </c>
      <c r="AK77" s="46">
        <f>MIN('Manual Fitting'!$A$3:$A$32)+(MAX('Manual Fitting'!$A$3:$A$32)-MIN('Manual Fitting'!$A$3:$A$17))*(Guts!F77/100)</f>
        <v>0</v>
      </c>
      <c r="AL77" s="46">
        <f t="shared" si="13"/>
        <v>0</v>
      </c>
      <c r="AP77" s="46">
        <f t="shared" si="14"/>
        <v>0</v>
      </c>
      <c r="AQ77" s="48">
        <f t="shared" si="15"/>
        <v>0</v>
      </c>
      <c r="AR77" s="48" t="e">
        <f t="shared" ca="1" si="16"/>
        <v>#N/A</v>
      </c>
    </row>
    <row r="78" spans="1:44">
      <c r="A78" s="6"/>
      <c r="B78" s="6"/>
      <c r="C78" s="6"/>
      <c r="D78" s="6"/>
      <c r="E78" s="6"/>
      <c r="F78" s="34">
        <v>76</v>
      </c>
      <c r="G78" s="46">
        <f t="shared" ca="1" si="0"/>
        <v>6080</v>
      </c>
      <c r="H78" s="34" t="e">
        <f t="shared" si="1"/>
        <v>#N/A</v>
      </c>
      <c r="J78" s="34" t="e">
        <f t="shared" ca="1" si="2"/>
        <v>#N/A</v>
      </c>
      <c r="K78" s="34" t="e">
        <f ca="1">IF($D$32=1,$B$48*J78+$C$48,IF($D$32=2,$B$48*J78^2+$C$48*J78+$D$48,IF($D$32=3,$B$48*J78^3+$C$48*J78^2+$D$48*J78+$E$48,IF($D$32=4,$B$48*J78^'Double Analysis'!$G$13,IF($D$32=5,EXP($C$48)*J78^$B$48,IF($D$32=6,EXP($C$48+J78*$B$48),NA()))))))</f>
        <v>#N/A</v>
      </c>
      <c r="L78" s="34" t="e">
        <f ca="1">IF($D$32=1,$B$54*J78+$C$54,IF($D$32=2,$B$54*J78^2+$C$54*J78+$D$54,IF($D$32=3,$B$54*J78^3+$C$54*J78^2+$D$54*J78+$E$54,IF($D$32=4,$B$54*J78^'Double Analysis'!$G$13,IF($D$32=5,EXP($C$54)*J78^$B$54,IF($D$32=6,EXP($C$54+J78*$B$54),NA()))))))</f>
        <v>#N/A</v>
      </c>
      <c r="N78" s="34" t="e">
        <f t="shared" ca="1" si="3"/>
        <v>#N/A</v>
      </c>
      <c r="O78" s="34" t="e">
        <f t="shared" ca="1" si="4"/>
        <v>#N/A</v>
      </c>
      <c r="P78" s="34" t="e">
        <f t="shared" si="5"/>
        <v>#N/A</v>
      </c>
      <c r="R78" s="34" t="str">
        <f t="shared" si="6"/>
        <v/>
      </c>
      <c r="Y78" s="34" t="str">
        <f t="shared" si="7"/>
        <v xml:space="preserve"> </v>
      </c>
      <c r="Z78" s="34" t="e">
        <f t="shared" ca="1" si="8"/>
        <v>#N/A</v>
      </c>
      <c r="AA78" s="34" t="e">
        <f t="array" aca="1" ref="AA78" ca="1">IF(ISNUMBER(Z78),INDEX(DA_y1data,MATCH(Z78,$Y$2:$Y$102,0)),NA())</f>
        <v>#N/A</v>
      </c>
      <c r="AB78" s="34" t="e">
        <f t="shared" si="9"/>
        <v>#N/A</v>
      </c>
      <c r="AC78" s="34" t="str">
        <f t="shared" si="10"/>
        <v xml:space="preserve"> </v>
      </c>
      <c r="AD78" s="34" t="e">
        <f t="shared" ca="1" si="11"/>
        <v>#N/A</v>
      </c>
      <c r="AE78" s="34" t="e">
        <f t="array" aca="1" ref="AE78" ca="1">IF(ISNUMBER(AD78),INDEX(DA_y2data,MATCH(AD78,$AC$2:$AC$102,0)),NA())</f>
        <v>#N/A</v>
      </c>
      <c r="AF78" s="34" t="e">
        <f t="shared" si="12"/>
        <v>#N/A</v>
      </c>
      <c r="AK78" s="46">
        <f>MIN('Manual Fitting'!$A$3:$A$32)+(MAX('Manual Fitting'!$A$3:$A$32)-MIN('Manual Fitting'!$A$3:$A$17))*(Guts!F78/100)</f>
        <v>0</v>
      </c>
      <c r="AL78" s="46">
        <f t="shared" si="13"/>
        <v>0</v>
      </c>
      <c r="AP78" s="46">
        <f t="shared" si="14"/>
        <v>0</v>
      </c>
      <c r="AQ78" s="48">
        <f t="shared" si="15"/>
        <v>0</v>
      </c>
      <c r="AR78" s="48" t="e">
        <f t="shared" ca="1" si="16"/>
        <v>#N/A</v>
      </c>
    </row>
    <row r="79" spans="1:44">
      <c r="A79" s="6"/>
      <c r="B79" s="6"/>
      <c r="C79" s="6"/>
      <c r="D79" s="6"/>
      <c r="E79" s="6"/>
      <c r="F79" s="34">
        <v>77</v>
      </c>
      <c r="G79" s="46">
        <f t="shared" ca="1" si="0"/>
        <v>6160</v>
      </c>
      <c r="H79" s="34" t="e">
        <f t="shared" si="1"/>
        <v>#N/A</v>
      </c>
      <c r="J79" s="34" t="e">
        <f t="shared" ca="1" si="2"/>
        <v>#N/A</v>
      </c>
      <c r="K79" s="34" t="e">
        <f ca="1">IF($D$32=1,$B$48*J79+$C$48,IF($D$32=2,$B$48*J79^2+$C$48*J79+$D$48,IF($D$32=3,$B$48*J79^3+$C$48*J79^2+$D$48*J79+$E$48,IF($D$32=4,$B$48*J79^'Double Analysis'!$G$13,IF($D$32=5,EXP($C$48)*J79^$B$48,IF($D$32=6,EXP($C$48+J79*$B$48),NA()))))))</f>
        <v>#N/A</v>
      </c>
      <c r="L79" s="34" t="e">
        <f ca="1">IF($D$32=1,$B$54*J79+$C$54,IF($D$32=2,$B$54*J79^2+$C$54*J79+$D$54,IF($D$32=3,$B$54*J79^3+$C$54*J79^2+$D$54*J79+$E$54,IF($D$32=4,$B$54*J79^'Double Analysis'!$G$13,IF($D$32=5,EXP($C$54)*J79^$B$54,IF($D$32=6,EXP($C$54+J79*$B$54),NA()))))))</f>
        <v>#N/A</v>
      </c>
      <c r="N79" s="34" t="e">
        <f t="shared" ca="1" si="3"/>
        <v>#N/A</v>
      </c>
      <c r="O79" s="34" t="e">
        <f t="shared" ca="1" si="4"/>
        <v>#N/A</v>
      </c>
      <c r="P79" s="34" t="e">
        <f t="shared" si="5"/>
        <v>#N/A</v>
      </c>
      <c r="R79" s="34" t="str">
        <f t="shared" si="6"/>
        <v/>
      </c>
      <c r="Y79" s="34" t="str">
        <f t="shared" si="7"/>
        <v xml:space="preserve"> </v>
      </c>
      <c r="Z79" s="34" t="e">
        <f t="shared" ca="1" si="8"/>
        <v>#N/A</v>
      </c>
      <c r="AA79" s="34" t="e">
        <f t="array" aca="1" ref="AA79" ca="1">IF(ISNUMBER(Z79),INDEX(DA_y1data,MATCH(Z79,$Y$2:$Y$102,0)),NA())</f>
        <v>#N/A</v>
      </c>
      <c r="AB79" s="34" t="e">
        <f t="shared" si="9"/>
        <v>#N/A</v>
      </c>
      <c r="AC79" s="34" t="str">
        <f t="shared" si="10"/>
        <v xml:space="preserve"> </v>
      </c>
      <c r="AD79" s="34" t="e">
        <f t="shared" ca="1" si="11"/>
        <v>#N/A</v>
      </c>
      <c r="AE79" s="34" t="e">
        <f t="array" aca="1" ref="AE79" ca="1">IF(ISNUMBER(AD79),INDEX(DA_y2data,MATCH(AD79,$AC$2:$AC$102,0)),NA())</f>
        <v>#N/A</v>
      </c>
      <c r="AF79" s="34" t="e">
        <f t="shared" si="12"/>
        <v>#N/A</v>
      </c>
      <c r="AK79" s="46">
        <f>MIN('Manual Fitting'!$A$3:$A$32)+(MAX('Manual Fitting'!$A$3:$A$32)-MIN('Manual Fitting'!$A$3:$A$17))*(Guts!F79/100)</f>
        <v>0</v>
      </c>
      <c r="AL79" s="46">
        <f t="shared" si="13"/>
        <v>0</v>
      </c>
      <c r="AP79" s="46">
        <f t="shared" si="14"/>
        <v>0</v>
      </c>
      <c r="AQ79" s="48">
        <f t="shared" si="15"/>
        <v>0</v>
      </c>
      <c r="AR79" s="48" t="e">
        <f t="shared" ca="1" si="16"/>
        <v>#N/A</v>
      </c>
    </row>
    <row r="80" spans="1:44">
      <c r="A80" s="6"/>
      <c r="B80" s="6"/>
      <c r="C80" s="6"/>
      <c r="D80" s="6"/>
      <c r="E80" s="6"/>
      <c r="F80" s="34">
        <v>78</v>
      </c>
      <c r="G80" s="46">
        <f t="shared" ca="1" si="0"/>
        <v>6240</v>
      </c>
      <c r="H80" s="34" t="e">
        <f t="shared" si="1"/>
        <v>#N/A</v>
      </c>
      <c r="J80" s="34" t="e">
        <f t="shared" ca="1" si="2"/>
        <v>#N/A</v>
      </c>
      <c r="K80" s="34" t="e">
        <f ca="1">IF($D$32=1,$B$48*J80+$C$48,IF($D$32=2,$B$48*J80^2+$C$48*J80+$D$48,IF($D$32=3,$B$48*J80^3+$C$48*J80^2+$D$48*J80+$E$48,IF($D$32=4,$B$48*J80^'Double Analysis'!$G$13,IF($D$32=5,EXP($C$48)*J80^$B$48,IF($D$32=6,EXP($C$48+J80*$B$48),NA()))))))</f>
        <v>#N/A</v>
      </c>
      <c r="L80" s="34" t="e">
        <f ca="1">IF($D$32=1,$B$54*J80+$C$54,IF($D$32=2,$B$54*J80^2+$C$54*J80+$D$54,IF($D$32=3,$B$54*J80^3+$C$54*J80^2+$D$54*J80+$E$54,IF($D$32=4,$B$54*J80^'Double Analysis'!$G$13,IF($D$32=5,EXP($C$54)*J80^$B$54,IF($D$32=6,EXP($C$54+J80*$B$54),NA()))))))</f>
        <v>#N/A</v>
      </c>
      <c r="N80" s="34" t="e">
        <f t="shared" ca="1" si="3"/>
        <v>#N/A</v>
      </c>
      <c r="O80" s="34" t="e">
        <f t="shared" ca="1" si="4"/>
        <v>#N/A</v>
      </c>
      <c r="P80" s="34" t="e">
        <f t="shared" si="5"/>
        <v>#N/A</v>
      </c>
      <c r="R80" s="34" t="str">
        <f t="shared" si="6"/>
        <v/>
      </c>
      <c r="Y80" s="34" t="str">
        <f t="shared" si="7"/>
        <v xml:space="preserve"> </v>
      </c>
      <c r="Z80" s="34" t="e">
        <f t="shared" ca="1" si="8"/>
        <v>#N/A</v>
      </c>
      <c r="AA80" s="34" t="e">
        <f t="array" aca="1" ref="AA80" ca="1">IF(ISNUMBER(Z80),INDEX(DA_y1data,MATCH(Z80,$Y$2:$Y$102,0)),NA())</f>
        <v>#N/A</v>
      </c>
      <c r="AB80" s="34" t="e">
        <f t="shared" si="9"/>
        <v>#N/A</v>
      </c>
      <c r="AC80" s="34" t="str">
        <f t="shared" si="10"/>
        <v xml:space="preserve"> </v>
      </c>
      <c r="AD80" s="34" t="e">
        <f t="shared" ca="1" si="11"/>
        <v>#N/A</v>
      </c>
      <c r="AE80" s="34" t="e">
        <f t="array" aca="1" ref="AE80" ca="1">IF(ISNUMBER(AD80),INDEX(DA_y2data,MATCH(AD80,$AC$2:$AC$102,0)),NA())</f>
        <v>#N/A</v>
      </c>
      <c r="AF80" s="34" t="e">
        <f t="shared" si="12"/>
        <v>#N/A</v>
      </c>
      <c r="AK80" s="46">
        <f>MIN('Manual Fitting'!$A$3:$A$32)+(MAX('Manual Fitting'!$A$3:$A$32)-MIN('Manual Fitting'!$A$3:$A$17))*(Guts!F80/100)</f>
        <v>0</v>
      </c>
      <c r="AL80" s="46">
        <f t="shared" si="13"/>
        <v>0</v>
      </c>
      <c r="AP80" s="46">
        <f t="shared" si="14"/>
        <v>0</v>
      </c>
      <c r="AQ80" s="48">
        <f t="shared" si="15"/>
        <v>0</v>
      </c>
      <c r="AR80" s="48" t="e">
        <f t="shared" ca="1" si="16"/>
        <v>#N/A</v>
      </c>
    </row>
    <row r="81" spans="1:44">
      <c r="A81" s="6"/>
      <c r="B81" s="6"/>
      <c r="C81" s="6"/>
      <c r="D81" s="6"/>
      <c r="E81" s="6"/>
      <c r="F81" s="34">
        <v>79</v>
      </c>
      <c r="G81" s="46">
        <f t="shared" ca="1" si="0"/>
        <v>6320</v>
      </c>
      <c r="H81" s="34" t="e">
        <f t="shared" si="1"/>
        <v>#N/A</v>
      </c>
      <c r="J81" s="34" t="e">
        <f t="shared" ca="1" si="2"/>
        <v>#N/A</v>
      </c>
      <c r="K81" s="34" t="e">
        <f ca="1">IF($D$32=1,$B$48*J81+$C$48,IF($D$32=2,$B$48*J81^2+$C$48*J81+$D$48,IF($D$32=3,$B$48*J81^3+$C$48*J81^2+$D$48*J81+$E$48,IF($D$32=4,$B$48*J81^'Double Analysis'!$G$13,IF($D$32=5,EXP($C$48)*J81^$B$48,IF($D$32=6,EXP($C$48+J81*$B$48),NA()))))))</f>
        <v>#N/A</v>
      </c>
      <c r="L81" s="34" t="e">
        <f ca="1">IF($D$32=1,$B$54*J81+$C$54,IF($D$32=2,$B$54*J81^2+$C$54*J81+$D$54,IF($D$32=3,$B$54*J81^3+$C$54*J81^2+$D$54*J81+$E$54,IF($D$32=4,$B$54*J81^'Double Analysis'!$G$13,IF($D$32=5,EXP($C$54)*J81^$B$54,IF($D$32=6,EXP($C$54+J81*$B$54),NA()))))))</f>
        <v>#N/A</v>
      </c>
      <c r="N81" s="34" t="e">
        <f t="shared" ca="1" si="3"/>
        <v>#N/A</v>
      </c>
      <c r="O81" s="34" t="e">
        <f t="shared" ca="1" si="4"/>
        <v>#N/A</v>
      </c>
      <c r="P81" s="34" t="e">
        <f t="shared" si="5"/>
        <v>#N/A</v>
      </c>
      <c r="R81" s="34" t="str">
        <f t="shared" si="6"/>
        <v/>
      </c>
      <c r="Y81" s="34" t="str">
        <f t="shared" si="7"/>
        <v xml:space="preserve"> </v>
      </c>
      <c r="Z81" s="34" t="e">
        <f t="shared" ca="1" si="8"/>
        <v>#N/A</v>
      </c>
      <c r="AA81" s="34" t="e">
        <f t="array" aca="1" ref="AA81" ca="1">IF(ISNUMBER(Z81),INDEX(DA_y1data,MATCH(Z81,$Y$2:$Y$102,0)),NA())</f>
        <v>#N/A</v>
      </c>
      <c r="AB81" s="34" t="e">
        <f t="shared" si="9"/>
        <v>#N/A</v>
      </c>
      <c r="AC81" s="34" t="str">
        <f t="shared" si="10"/>
        <v xml:space="preserve"> </v>
      </c>
      <c r="AD81" s="34" t="e">
        <f t="shared" ca="1" si="11"/>
        <v>#N/A</v>
      </c>
      <c r="AE81" s="34" t="e">
        <f t="array" aca="1" ref="AE81" ca="1">IF(ISNUMBER(AD81),INDEX(DA_y2data,MATCH(AD81,$AC$2:$AC$102,0)),NA())</f>
        <v>#N/A</v>
      </c>
      <c r="AF81" s="34" t="e">
        <f t="shared" si="12"/>
        <v>#N/A</v>
      </c>
      <c r="AK81" s="46">
        <f>MIN('Manual Fitting'!$A$3:$A$32)+(MAX('Manual Fitting'!$A$3:$A$32)-MIN('Manual Fitting'!$A$3:$A$17))*(Guts!F81/100)</f>
        <v>0</v>
      </c>
      <c r="AL81" s="46">
        <f t="shared" si="13"/>
        <v>0</v>
      </c>
      <c r="AP81" s="46">
        <f t="shared" si="14"/>
        <v>0</v>
      </c>
      <c r="AQ81" s="48">
        <f t="shared" si="15"/>
        <v>0</v>
      </c>
      <c r="AR81" s="48" t="e">
        <f t="shared" ca="1" si="16"/>
        <v>#N/A</v>
      </c>
    </row>
    <row r="82" spans="1:44">
      <c r="A82" s="6"/>
      <c r="B82" s="6"/>
      <c r="C82" s="6"/>
      <c r="D82" s="6"/>
      <c r="E82" s="6"/>
      <c r="F82" s="34">
        <v>80</v>
      </c>
      <c r="G82" s="46">
        <f t="shared" ca="1" si="0"/>
        <v>6400</v>
      </c>
      <c r="H82" s="34" t="e">
        <f t="shared" si="1"/>
        <v>#N/A</v>
      </c>
      <c r="J82" s="34" t="e">
        <f t="shared" ca="1" si="2"/>
        <v>#N/A</v>
      </c>
      <c r="K82" s="34" t="e">
        <f ca="1">IF($D$32=1,$B$48*J82+$C$48,IF($D$32=2,$B$48*J82^2+$C$48*J82+$D$48,IF($D$32=3,$B$48*J82^3+$C$48*J82^2+$D$48*J82+$E$48,IF($D$32=4,$B$48*J82^'Double Analysis'!$G$13,IF($D$32=5,EXP($C$48)*J82^$B$48,IF($D$32=6,EXP($C$48+J82*$B$48),NA()))))))</f>
        <v>#N/A</v>
      </c>
      <c r="L82" s="34" t="e">
        <f ca="1">IF($D$32=1,$B$54*J82+$C$54,IF($D$32=2,$B$54*J82^2+$C$54*J82+$D$54,IF($D$32=3,$B$54*J82^3+$C$54*J82^2+$D$54*J82+$E$54,IF($D$32=4,$B$54*J82^'Double Analysis'!$G$13,IF($D$32=5,EXP($C$54)*J82^$B$54,IF($D$32=6,EXP($C$54+J82*$B$54),NA()))))))</f>
        <v>#N/A</v>
      </c>
      <c r="N82" s="34" t="e">
        <f t="shared" ca="1" si="3"/>
        <v>#N/A</v>
      </c>
      <c r="O82" s="34" t="e">
        <f t="shared" ca="1" si="4"/>
        <v>#N/A</v>
      </c>
      <c r="P82" s="34" t="e">
        <f t="shared" si="5"/>
        <v>#N/A</v>
      </c>
      <c r="R82" s="34" t="str">
        <f t="shared" si="6"/>
        <v/>
      </c>
      <c r="Y82" s="34" t="str">
        <f t="shared" si="7"/>
        <v xml:space="preserve"> </v>
      </c>
      <c r="Z82" s="34" t="e">
        <f t="shared" ca="1" si="8"/>
        <v>#N/A</v>
      </c>
      <c r="AA82" s="34" t="e">
        <f t="array" aca="1" ref="AA82" ca="1">IF(ISNUMBER(Z82),INDEX(DA_y1data,MATCH(Z82,$Y$2:$Y$102,0)),NA())</f>
        <v>#N/A</v>
      </c>
      <c r="AB82" s="34" t="e">
        <f t="shared" si="9"/>
        <v>#N/A</v>
      </c>
      <c r="AC82" s="34" t="str">
        <f t="shared" si="10"/>
        <v xml:space="preserve"> </v>
      </c>
      <c r="AD82" s="34" t="e">
        <f t="shared" ca="1" si="11"/>
        <v>#N/A</v>
      </c>
      <c r="AE82" s="34" t="e">
        <f t="array" aca="1" ref="AE82" ca="1">IF(ISNUMBER(AD82),INDEX(DA_y2data,MATCH(AD82,$AC$2:$AC$102,0)),NA())</f>
        <v>#N/A</v>
      </c>
      <c r="AF82" s="34" t="e">
        <f t="shared" si="12"/>
        <v>#N/A</v>
      </c>
      <c r="AK82" s="46">
        <f>MIN('Manual Fitting'!$A$3:$A$32)+(MAX('Manual Fitting'!$A$3:$A$32)-MIN('Manual Fitting'!$A$3:$A$17))*(Guts!F82/100)</f>
        <v>0</v>
      </c>
      <c r="AL82" s="46">
        <f t="shared" si="13"/>
        <v>0</v>
      </c>
      <c r="AP82" s="46">
        <f t="shared" si="14"/>
        <v>0</v>
      </c>
      <c r="AQ82" s="48">
        <f t="shared" si="15"/>
        <v>0</v>
      </c>
      <c r="AR82" s="48" t="e">
        <f t="shared" ca="1" si="16"/>
        <v>#N/A</v>
      </c>
    </row>
    <row r="83" spans="1:44">
      <c r="A83" s="6"/>
      <c r="B83" s="6"/>
      <c r="C83" s="6"/>
      <c r="D83" s="6"/>
      <c r="E83" s="6"/>
      <c r="F83" s="34">
        <v>81</v>
      </c>
      <c r="G83" s="46">
        <f t="shared" ca="1" si="0"/>
        <v>6480</v>
      </c>
      <c r="H83" s="34" t="e">
        <f t="shared" si="1"/>
        <v>#N/A</v>
      </c>
      <c r="J83" s="34" t="e">
        <f t="shared" ca="1" si="2"/>
        <v>#N/A</v>
      </c>
      <c r="K83" s="34" t="e">
        <f ca="1">IF($D$32=1,$B$48*J83+$C$48,IF($D$32=2,$B$48*J83^2+$C$48*J83+$D$48,IF($D$32=3,$B$48*J83^3+$C$48*J83^2+$D$48*J83+$E$48,IF($D$32=4,$B$48*J83^'Double Analysis'!$G$13,IF($D$32=5,EXP($C$48)*J83^$B$48,IF($D$32=6,EXP($C$48+J83*$B$48),NA()))))))</f>
        <v>#N/A</v>
      </c>
      <c r="L83" s="34" t="e">
        <f ca="1">IF($D$32=1,$B$54*J83+$C$54,IF($D$32=2,$B$54*J83^2+$C$54*J83+$D$54,IF($D$32=3,$B$54*J83^3+$C$54*J83^2+$D$54*J83+$E$54,IF($D$32=4,$B$54*J83^'Double Analysis'!$G$13,IF($D$32=5,EXP($C$54)*J83^$B$54,IF($D$32=6,EXP($C$54+J83*$B$54),NA()))))))</f>
        <v>#N/A</v>
      </c>
      <c r="N83" s="34" t="e">
        <f t="shared" ca="1" si="3"/>
        <v>#N/A</v>
      </c>
      <c r="O83" s="34" t="e">
        <f t="shared" ca="1" si="4"/>
        <v>#N/A</v>
      </c>
      <c r="P83" s="34" t="e">
        <f t="shared" si="5"/>
        <v>#N/A</v>
      </c>
      <c r="R83" s="34" t="str">
        <f t="shared" si="6"/>
        <v/>
      </c>
      <c r="Y83" s="34" t="str">
        <f t="shared" si="7"/>
        <v xml:space="preserve"> </v>
      </c>
      <c r="Z83" s="34" t="e">
        <f t="shared" ca="1" si="8"/>
        <v>#N/A</v>
      </c>
      <c r="AA83" s="34" t="e">
        <f t="array" aca="1" ref="AA83" ca="1">IF(ISNUMBER(Z83),INDEX(DA_y1data,MATCH(Z83,$Y$2:$Y$102,0)),NA())</f>
        <v>#N/A</v>
      </c>
      <c r="AB83" s="34" t="e">
        <f t="shared" si="9"/>
        <v>#N/A</v>
      </c>
      <c r="AC83" s="34" t="str">
        <f t="shared" si="10"/>
        <v xml:space="preserve"> </v>
      </c>
      <c r="AD83" s="34" t="e">
        <f t="shared" ca="1" si="11"/>
        <v>#N/A</v>
      </c>
      <c r="AE83" s="34" t="e">
        <f t="array" aca="1" ref="AE83" ca="1">IF(ISNUMBER(AD83),INDEX(DA_y2data,MATCH(AD83,$AC$2:$AC$102,0)),NA())</f>
        <v>#N/A</v>
      </c>
      <c r="AF83" s="34" t="e">
        <f t="shared" si="12"/>
        <v>#N/A</v>
      </c>
      <c r="AK83" s="46">
        <f>MIN('Manual Fitting'!$A$3:$A$32)+(MAX('Manual Fitting'!$A$3:$A$32)-MIN('Manual Fitting'!$A$3:$A$17))*(Guts!F83/100)</f>
        <v>0</v>
      </c>
      <c r="AL83" s="46">
        <f t="shared" si="13"/>
        <v>0</v>
      </c>
      <c r="AP83" s="46">
        <f t="shared" si="14"/>
        <v>0</v>
      </c>
      <c r="AQ83" s="48">
        <f t="shared" si="15"/>
        <v>0</v>
      </c>
      <c r="AR83" s="48" t="e">
        <f t="shared" ca="1" si="16"/>
        <v>#N/A</v>
      </c>
    </row>
    <row r="84" spans="1:44">
      <c r="A84" s="6"/>
      <c r="B84" s="6"/>
      <c r="C84" s="6"/>
      <c r="D84" s="6"/>
      <c r="E84" s="6"/>
      <c r="F84" s="34">
        <v>82</v>
      </c>
      <c r="G84" s="46">
        <f t="shared" ca="1" si="0"/>
        <v>6560</v>
      </c>
      <c r="H84" s="34" t="e">
        <f t="shared" si="1"/>
        <v>#N/A</v>
      </c>
      <c r="J84" s="34" t="e">
        <f t="shared" ca="1" si="2"/>
        <v>#N/A</v>
      </c>
      <c r="K84" s="34" t="e">
        <f ca="1">IF($D$32=1,$B$48*J84+$C$48,IF($D$32=2,$B$48*J84^2+$C$48*J84+$D$48,IF($D$32=3,$B$48*J84^3+$C$48*J84^2+$D$48*J84+$E$48,IF($D$32=4,$B$48*J84^'Double Analysis'!$G$13,IF($D$32=5,EXP($C$48)*J84^$B$48,IF($D$32=6,EXP($C$48+J84*$B$48),NA()))))))</f>
        <v>#N/A</v>
      </c>
      <c r="L84" s="34" t="e">
        <f ca="1">IF($D$32=1,$B$54*J84+$C$54,IF($D$32=2,$B$54*J84^2+$C$54*J84+$D$54,IF($D$32=3,$B$54*J84^3+$C$54*J84^2+$D$54*J84+$E$54,IF($D$32=4,$B$54*J84^'Double Analysis'!$G$13,IF($D$32=5,EXP($C$54)*J84^$B$54,IF($D$32=6,EXP($C$54+J84*$B$54),NA()))))))</f>
        <v>#N/A</v>
      </c>
      <c r="N84" s="34" t="e">
        <f t="shared" ca="1" si="3"/>
        <v>#N/A</v>
      </c>
      <c r="O84" s="34" t="e">
        <f t="shared" ca="1" si="4"/>
        <v>#N/A</v>
      </c>
      <c r="P84" s="34" t="e">
        <f t="shared" si="5"/>
        <v>#N/A</v>
      </c>
      <c r="R84" s="34" t="str">
        <f t="shared" si="6"/>
        <v/>
      </c>
      <c r="Y84" s="34" t="str">
        <f t="shared" si="7"/>
        <v xml:space="preserve"> </v>
      </c>
      <c r="Z84" s="34" t="e">
        <f t="shared" ca="1" si="8"/>
        <v>#N/A</v>
      </c>
      <c r="AA84" s="34" t="e">
        <f t="array" aca="1" ref="AA84" ca="1">IF(ISNUMBER(Z84),INDEX(DA_y1data,MATCH(Z84,$Y$2:$Y$102,0)),NA())</f>
        <v>#N/A</v>
      </c>
      <c r="AB84" s="34" t="e">
        <f t="shared" si="9"/>
        <v>#N/A</v>
      </c>
      <c r="AC84" s="34" t="str">
        <f t="shared" si="10"/>
        <v xml:space="preserve"> </v>
      </c>
      <c r="AD84" s="34" t="e">
        <f t="shared" ca="1" si="11"/>
        <v>#N/A</v>
      </c>
      <c r="AE84" s="34" t="e">
        <f t="array" aca="1" ref="AE84" ca="1">IF(ISNUMBER(AD84),INDEX(DA_y2data,MATCH(AD84,$AC$2:$AC$102,0)),NA())</f>
        <v>#N/A</v>
      </c>
      <c r="AF84" s="34" t="e">
        <f t="shared" si="12"/>
        <v>#N/A</v>
      </c>
      <c r="AK84" s="46">
        <f>MIN('Manual Fitting'!$A$3:$A$32)+(MAX('Manual Fitting'!$A$3:$A$32)-MIN('Manual Fitting'!$A$3:$A$17))*(Guts!F84/100)</f>
        <v>0</v>
      </c>
      <c r="AL84" s="46">
        <f t="shared" si="13"/>
        <v>0</v>
      </c>
      <c r="AP84" s="46">
        <f t="shared" si="14"/>
        <v>0</v>
      </c>
      <c r="AQ84" s="48">
        <f t="shared" si="15"/>
        <v>0</v>
      </c>
      <c r="AR84" s="48" t="e">
        <f t="shared" ca="1" si="16"/>
        <v>#N/A</v>
      </c>
    </row>
    <row r="85" spans="1:44">
      <c r="A85" s="6"/>
      <c r="B85" s="6"/>
      <c r="C85" s="6"/>
      <c r="D85" s="6"/>
      <c r="E85" s="6"/>
      <c r="F85" s="34">
        <v>83</v>
      </c>
      <c r="G85" s="46">
        <f t="shared" ca="1" si="0"/>
        <v>6640</v>
      </c>
      <c r="H85" s="34" t="e">
        <f t="shared" si="1"/>
        <v>#N/A</v>
      </c>
      <c r="J85" s="34" t="e">
        <f t="shared" ca="1" si="2"/>
        <v>#N/A</v>
      </c>
      <c r="K85" s="34" t="e">
        <f ca="1">IF($D$32=1,$B$48*J85+$C$48,IF($D$32=2,$B$48*J85^2+$C$48*J85+$D$48,IF($D$32=3,$B$48*J85^3+$C$48*J85^2+$D$48*J85+$E$48,IF($D$32=4,$B$48*J85^'Double Analysis'!$G$13,IF($D$32=5,EXP($C$48)*J85^$B$48,IF($D$32=6,EXP($C$48+J85*$B$48),NA()))))))</f>
        <v>#N/A</v>
      </c>
      <c r="L85" s="34" t="e">
        <f ca="1">IF($D$32=1,$B$54*J85+$C$54,IF($D$32=2,$B$54*J85^2+$C$54*J85+$D$54,IF($D$32=3,$B$54*J85^3+$C$54*J85^2+$D$54*J85+$E$54,IF($D$32=4,$B$54*J85^'Double Analysis'!$G$13,IF($D$32=5,EXP($C$54)*J85^$B$54,IF($D$32=6,EXP($C$54+J85*$B$54),NA()))))))</f>
        <v>#N/A</v>
      </c>
      <c r="N85" s="34" t="e">
        <f t="shared" ca="1" si="3"/>
        <v>#N/A</v>
      </c>
      <c r="O85" s="34" t="e">
        <f t="shared" ca="1" si="4"/>
        <v>#N/A</v>
      </c>
      <c r="P85" s="34" t="e">
        <f t="shared" si="5"/>
        <v>#N/A</v>
      </c>
      <c r="R85" s="34" t="str">
        <f t="shared" si="6"/>
        <v/>
      </c>
      <c r="Y85" s="34" t="str">
        <f t="shared" si="7"/>
        <v xml:space="preserve"> </v>
      </c>
      <c r="Z85" s="34" t="e">
        <f t="shared" ca="1" si="8"/>
        <v>#N/A</v>
      </c>
      <c r="AA85" s="34" t="e">
        <f t="array" aca="1" ref="AA85" ca="1">IF(ISNUMBER(Z85),INDEX(DA_y1data,MATCH(Z85,$Y$2:$Y$102,0)),NA())</f>
        <v>#N/A</v>
      </c>
      <c r="AB85" s="34" t="e">
        <f t="shared" si="9"/>
        <v>#N/A</v>
      </c>
      <c r="AC85" s="34" t="str">
        <f t="shared" si="10"/>
        <v xml:space="preserve"> </v>
      </c>
      <c r="AD85" s="34" t="e">
        <f t="shared" ca="1" si="11"/>
        <v>#N/A</v>
      </c>
      <c r="AE85" s="34" t="e">
        <f t="array" aca="1" ref="AE85" ca="1">IF(ISNUMBER(AD85),INDEX(DA_y2data,MATCH(AD85,$AC$2:$AC$102,0)),NA())</f>
        <v>#N/A</v>
      </c>
      <c r="AF85" s="34" t="e">
        <f t="shared" si="12"/>
        <v>#N/A</v>
      </c>
      <c r="AK85" s="46">
        <f>MIN('Manual Fitting'!$A$3:$A$32)+(MAX('Manual Fitting'!$A$3:$A$32)-MIN('Manual Fitting'!$A$3:$A$17))*(Guts!F85/100)</f>
        <v>0</v>
      </c>
      <c r="AL85" s="46">
        <f t="shared" si="13"/>
        <v>0</v>
      </c>
      <c r="AP85" s="46">
        <f t="shared" si="14"/>
        <v>0</v>
      </c>
      <c r="AQ85" s="48">
        <f t="shared" si="15"/>
        <v>0</v>
      </c>
      <c r="AR85" s="48" t="e">
        <f t="shared" ca="1" si="16"/>
        <v>#N/A</v>
      </c>
    </row>
    <row r="86" spans="1:44">
      <c r="A86" s="6"/>
      <c r="B86" s="6"/>
      <c r="C86" s="6"/>
      <c r="D86" s="6"/>
      <c r="E86" s="6"/>
      <c r="F86" s="34">
        <v>84</v>
      </c>
      <c r="G86" s="46">
        <f t="shared" ca="1" si="0"/>
        <v>6720</v>
      </c>
      <c r="H86" s="34" t="e">
        <f t="shared" si="1"/>
        <v>#N/A</v>
      </c>
      <c r="J86" s="34" t="e">
        <f t="shared" ca="1" si="2"/>
        <v>#N/A</v>
      </c>
      <c r="K86" s="34" t="e">
        <f ca="1">IF($D$32=1,$B$48*J86+$C$48,IF($D$32=2,$B$48*J86^2+$C$48*J86+$D$48,IF($D$32=3,$B$48*J86^3+$C$48*J86^2+$D$48*J86+$E$48,IF($D$32=4,$B$48*J86^'Double Analysis'!$G$13,IF($D$32=5,EXP($C$48)*J86^$B$48,IF($D$32=6,EXP($C$48+J86*$B$48),NA()))))))</f>
        <v>#N/A</v>
      </c>
      <c r="L86" s="34" t="e">
        <f ca="1">IF($D$32=1,$B$54*J86+$C$54,IF($D$32=2,$B$54*J86^2+$C$54*J86+$D$54,IF($D$32=3,$B$54*J86^3+$C$54*J86^2+$D$54*J86+$E$54,IF($D$32=4,$B$54*J86^'Double Analysis'!$G$13,IF($D$32=5,EXP($C$54)*J86^$B$54,IF($D$32=6,EXP($C$54+J86*$B$54),NA()))))))</f>
        <v>#N/A</v>
      </c>
      <c r="N86" s="34" t="e">
        <f t="shared" ca="1" si="3"/>
        <v>#N/A</v>
      </c>
      <c r="O86" s="34" t="e">
        <f t="shared" ca="1" si="4"/>
        <v>#N/A</v>
      </c>
      <c r="P86" s="34" t="e">
        <f t="shared" si="5"/>
        <v>#N/A</v>
      </c>
      <c r="R86" s="34" t="str">
        <f t="shared" si="6"/>
        <v/>
      </c>
      <c r="Y86" s="34" t="str">
        <f t="shared" si="7"/>
        <v xml:space="preserve"> </v>
      </c>
      <c r="Z86" s="34" t="e">
        <f t="shared" ca="1" si="8"/>
        <v>#N/A</v>
      </c>
      <c r="AA86" s="34" t="e">
        <f t="array" aca="1" ref="AA86" ca="1">IF(ISNUMBER(Z86),INDEX(DA_y1data,MATCH(Z86,$Y$2:$Y$102,0)),NA())</f>
        <v>#N/A</v>
      </c>
      <c r="AB86" s="34" t="e">
        <f t="shared" si="9"/>
        <v>#N/A</v>
      </c>
      <c r="AC86" s="34" t="str">
        <f t="shared" si="10"/>
        <v xml:space="preserve"> </v>
      </c>
      <c r="AD86" s="34" t="e">
        <f t="shared" ca="1" si="11"/>
        <v>#N/A</v>
      </c>
      <c r="AE86" s="34" t="e">
        <f t="array" aca="1" ref="AE86" ca="1">IF(ISNUMBER(AD86),INDEX(DA_y2data,MATCH(AD86,$AC$2:$AC$102,0)),NA())</f>
        <v>#N/A</v>
      </c>
      <c r="AF86" s="34" t="e">
        <f t="shared" si="12"/>
        <v>#N/A</v>
      </c>
      <c r="AK86" s="46">
        <f>MIN('Manual Fitting'!$A$3:$A$32)+(MAX('Manual Fitting'!$A$3:$A$32)-MIN('Manual Fitting'!$A$3:$A$17))*(Guts!F86/100)</f>
        <v>0</v>
      </c>
      <c r="AL86" s="46">
        <f t="shared" si="13"/>
        <v>0</v>
      </c>
      <c r="AP86" s="46">
        <f t="shared" si="14"/>
        <v>0</v>
      </c>
      <c r="AQ86" s="48">
        <f t="shared" si="15"/>
        <v>0</v>
      </c>
      <c r="AR86" s="48" t="e">
        <f t="shared" ca="1" si="16"/>
        <v>#N/A</v>
      </c>
    </row>
    <row r="87" spans="1:44">
      <c r="A87" s="6"/>
      <c r="B87" s="6"/>
      <c r="C87" s="6"/>
      <c r="D87" s="6"/>
      <c r="E87" s="6"/>
      <c r="F87" s="34">
        <v>85</v>
      </c>
      <c r="G87" s="46">
        <f t="shared" ca="1" si="0"/>
        <v>6800</v>
      </c>
      <c r="H87" s="34" t="e">
        <f t="shared" si="1"/>
        <v>#N/A</v>
      </c>
      <c r="J87" s="34" t="e">
        <f t="shared" ca="1" si="2"/>
        <v>#N/A</v>
      </c>
      <c r="K87" s="34" t="e">
        <f ca="1">IF($D$32=1,$B$48*J87+$C$48,IF($D$32=2,$B$48*J87^2+$C$48*J87+$D$48,IF($D$32=3,$B$48*J87^3+$C$48*J87^2+$D$48*J87+$E$48,IF($D$32=4,$B$48*J87^'Double Analysis'!$G$13,IF($D$32=5,EXP($C$48)*J87^$B$48,IF($D$32=6,EXP($C$48+J87*$B$48),NA()))))))</f>
        <v>#N/A</v>
      </c>
      <c r="L87" s="34" t="e">
        <f ca="1">IF($D$32=1,$B$54*J87+$C$54,IF($D$32=2,$B$54*J87^2+$C$54*J87+$D$54,IF($D$32=3,$B$54*J87^3+$C$54*J87^2+$D$54*J87+$E$54,IF($D$32=4,$B$54*J87^'Double Analysis'!$G$13,IF($D$32=5,EXP($C$54)*J87^$B$54,IF($D$32=6,EXP($C$54+J87*$B$54),NA()))))))</f>
        <v>#N/A</v>
      </c>
      <c r="N87" s="34" t="e">
        <f t="shared" ca="1" si="3"/>
        <v>#N/A</v>
      </c>
      <c r="O87" s="34" t="e">
        <f t="shared" ca="1" si="4"/>
        <v>#N/A</v>
      </c>
      <c r="P87" s="34" t="e">
        <f t="shared" si="5"/>
        <v>#N/A</v>
      </c>
      <c r="R87" s="34" t="str">
        <f t="shared" si="6"/>
        <v/>
      </c>
      <c r="Y87" s="34" t="str">
        <f t="shared" si="7"/>
        <v xml:space="preserve"> </v>
      </c>
      <c r="Z87" s="34" t="e">
        <f t="shared" ca="1" si="8"/>
        <v>#N/A</v>
      </c>
      <c r="AA87" s="34" t="e">
        <f t="array" aca="1" ref="AA87" ca="1">IF(ISNUMBER(Z87),INDEX(DA_y1data,MATCH(Z87,$Y$2:$Y$102,0)),NA())</f>
        <v>#N/A</v>
      </c>
      <c r="AB87" s="34" t="e">
        <f t="shared" si="9"/>
        <v>#N/A</v>
      </c>
      <c r="AC87" s="34" t="str">
        <f t="shared" si="10"/>
        <v xml:space="preserve"> </v>
      </c>
      <c r="AD87" s="34" t="e">
        <f t="shared" ca="1" si="11"/>
        <v>#N/A</v>
      </c>
      <c r="AE87" s="34" t="e">
        <f t="array" aca="1" ref="AE87" ca="1">IF(ISNUMBER(AD87),INDEX(DA_y2data,MATCH(AD87,$AC$2:$AC$102,0)),NA())</f>
        <v>#N/A</v>
      </c>
      <c r="AF87" s="34" t="e">
        <f t="shared" si="12"/>
        <v>#N/A</v>
      </c>
      <c r="AK87" s="46">
        <f>MIN('Manual Fitting'!$A$3:$A$32)+(MAX('Manual Fitting'!$A$3:$A$32)-MIN('Manual Fitting'!$A$3:$A$17))*(Guts!F87/100)</f>
        <v>0</v>
      </c>
      <c r="AL87" s="46">
        <f t="shared" si="13"/>
        <v>0</v>
      </c>
      <c r="AP87" s="46">
        <f t="shared" si="14"/>
        <v>0</v>
      </c>
      <c r="AQ87" s="48">
        <f t="shared" si="15"/>
        <v>0</v>
      </c>
      <c r="AR87" s="48" t="e">
        <f t="shared" ca="1" si="16"/>
        <v>#N/A</v>
      </c>
    </row>
    <row r="88" spans="1:44">
      <c r="A88" s="6"/>
      <c r="B88" s="6"/>
      <c r="C88" s="6"/>
      <c r="D88" s="6"/>
      <c r="E88" s="6"/>
      <c r="F88" s="34">
        <v>86</v>
      </c>
      <c r="G88" s="46">
        <f t="shared" ca="1" si="0"/>
        <v>6880</v>
      </c>
      <c r="H88" s="34" t="e">
        <f t="shared" si="1"/>
        <v>#N/A</v>
      </c>
      <c r="J88" s="34" t="e">
        <f t="shared" ca="1" si="2"/>
        <v>#N/A</v>
      </c>
      <c r="K88" s="34" t="e">
        <f ca="1">IF($D$32=1,$B$48*J88+$C$48,IF($D$32=2,$B$48*J88^2+$C$48*J88+$D$48,IF($D$32=3,$B$48*J88^3+$C$48*J88^2+$D$48*J88+$E$48,IF($D$32=4,$B$48*J88^'Double Analysis'!$G$13,IF($D$32=5,EXP($C$48)*J88^$B$48,IF($D$32=6,EXP($C$48+J88*$B$48),NA()))))))</f>
        <v>#N/A</v>
      </c>
      <c r="L88" s="34" t="e">
        <f ca="1">IF($D$32=1,$B$54*J88+$C$54,IF($D$32=2,$B$54*J88^2+$C$54*J88+$D$54,IF($D$32=3,$B$54*J88^3+$C$54*J88^2+$D$54*J88+$E$54,IF($D$32=4,$B$54*J88^'Double Analysis'!$G$13,IF($D$32=5,EXP($C$54)*J88^$B$54,IF($D$32=6,EXP($C$54+J88*$B$54),NA()))))))</f>
        <v>#N/A</v>
      </c>
      <c r="N88" s="34" t="e">
        <f t="shared" ca="1" si="3"/>
        <v>#N/A</v>
      </c>
      <c r="O88" s="34" t="e">
        <f t="shared" ca="1" si="4"/>
        <v>#N/A</v>
      </c>
      <c r="P88" s="34" t="e">
        <f t="shared" si="5"/>
        <v>#N/A</v>
      </c>
      <c r="R88" s="34" t="str">
        <f t="shared" si="6"/>
        <v/>
      </c>
      <c r="Y88" s="34" t="str">
        <f t="shared" si="7"/>
        <v xml:space="preserve"> </v>
      </c>
      <c r="Z88" s="34" t="e">
        <f t="shared" ca="1" si="8"/>
        <v>#N/A</v>
      </c>
      <c r="AA88" s="34" t="e">
        <f t="array" aca="1" ref="AA88" ca="1">IF(ISNUMBER(Z88),INDEX(DA_y1data,MATCH(Z88,$Y$2:$Y$102,0)),NA())</f>
        <v>#N/A</v>
      </c>
      <c r="AB88" s="34" t="e">
        <f t="shared" si="9"/>
        <v>#N/A</v>
      </c>
      <c r="AC88" s="34" t="str">
        <f t="shared" si="10"/>
        <v xml:space="preserve"> </v>
      </c>
      <c r="AD88" s="34" t="e">
        <f t="shared" ca="1" si="11"/>
        <v>#N/A</v>
      </c>
      <c r="AE88" s="34" t="e">
        <f t="array" aca="1" ref="AE88" ca="1">IF(ISNUMBER(AD88),INDEX(DA_y2data,MATCH(AD88,$AC$2:$AC$102,0)),NA())</f>
        <v>#N/A</v>
      </c>
      <c r="AF88" s="34" t="e">
        <f t="shared" si="12"/>
        <v>#N/A</v>
      </c>
      <c r="AK88" s="46">
        <f>MIN('Manual Fitting'!$A$3:$A$32)+(MAX('Manual Fitting'!$A$3:$A$32)-MIN('Manual Fitting'!$A$3:$A$17))*(Guts!F88/100)</f>
        <v>0</v>
      </c>
      <c r="AL88" s="46">
        <f t="shared" si="13"/>
        <v>0</v>
      </c>
      <c r="AP88" s="46">
        <f t="shared" si="14"/>
        <v>0</v>
      </c>
      <c r="AQ88" s="48">
        <f t="shared" si="15"/>
        <v>0</v>
      </c>
      <c r="AR88" s="48" t="e">
        <f t="shared" ca="1" si="16"/>
        <v>#N/A</v>
      </c>
    </row>
    <row r="89" spans="1:44">
      <c r="A89" s="6"/>
      <c r="B89" s="6"/>
      <c r="C89" s="6"/>
      <c r="D89" s="6"/>
      <c r="E89" s="6"/>
      <c r="F89" s="34">
        <v>87</v>
      </c>
      <c r="G89" s="46">
        <f t="shared" ca="1" si="0"/>
        <v>6960</v>
      </c>
      <c r="H89" s="34" t="e">
        <f t="shared" si="1"/>
        <v>#N/A</v>
      </c>
      <c r="J89" s="34" t="e">
        <f t="shared" ca="1" si="2"/>
        <v>#N/A</v>
      </c>
      <c r="K89" s="34" t="e">
        <f ca="1">IF($D$32=1,$B$48*J89+$C$48,IF($D$32=2,$B$48*J89^2+$C$48*J89+$D$48,IF($D$32=3,$B$48*J89^3+$C$48*J89^2+$D$48*J89+$E$48,IF($D$32=4,$B$48*J89^'Double Analysis'!$G$13,IF($D$32=5,EXP($C$48)*J89^$B$48,IF($D$32=6,EXP($C$48+J89*$B$48),NA()))))))</f>
        <v>#N/A</v>
      </c>
      <c r="L89" s="34" t="e">
        <f ca="1">IF($D$32=1,$B$54*J89+$C$54,IF($D$32=2,$B$54*J89^2+$C$54*J89+$D$54,IF($D$32=3,$B$54*J89^3+$C$54*J89^2+$D$54*J89+$E$54,IF($D$32=4,$B$54*J89^'Double Analysis'!$G$13,IF($D$32=5,EXP($C$54)*J89^$B$54,IF($D$32=6,EXP($C$54+J89*$B$54),NA()))))))</f>
        <v>#N/A</v>
      </c>
      <c r="N89" s="34" t="e">
        <f t="shared" ca="1" si="3"/>
        <v>#N/A</v>
      </c>
      <c r="O89" s="34" t="e">
        <f t="shared" ca="1" si="4"/>
        <v>#N/A</v>
      </c>
      <c r="P89" s="34" t="e">
        <f t="shared" si="5"/>
        <v>#N/A</v>
      </c>
      <c r="R89" s="34" t="str">
        <f t="shared" si="6"/>
        <v/>
      </c>
      <c r="Y89" s="34" t="str">
        <f t="shared" si="7"/>
        <v xml:space="preserve"> </v>
      </c>
      <c r="Z89" s="34" t="e">
        <f t="shared" ca="1" si="8"/>
        <v>#N/A</v>
      </c>
      <c r="AA89" s="34" t="e">
        <f t="array" aca="1" ref="AA89" ca="1">IF(ISNUMBER(Z89),INDEX(DA_y1data,MATCH(Z89,$Y$2:$Y$102,0)),NA())</f>
        <v>#N/A</v>
      </c>
      <c r="AB89" s="34" t="e">
        <f t="shared" si="9"/>
        <v>#N/A</v>
      </c>
      <c r="AC89" s="34" t="str">
        <f t="shared" si="10"/>
        <v xml:space="preserve"> </v>
      </c>
      <c r="AD89" s="34" t="e">
        <f t="shared" ca="1" si="11"/>
        <v>#N/A</v>
      </c>
      <c r="AE89" s="34" t="e">
        <f t="array" aca="1" ref="AE89" ca="1">IF(ISNUMBER(AD89),INDEX(DA_y2data,MATCH(AD89,$AC$2:$AC$102,0)),NA())</f>
        <v>#N/A</v>
      </c>
      <c r="AF89" s="34" t="e">
        <f t="shared" si="12"/>
        <v>#N/A</v>
      </c>
      <c r="AK89" s="46">
        <f>MIN('Manual Fitting'!$A$3:$A$32)+(MAX('Manual Fitting'!$A$3:$A$32)-MIN('Manual Fitting'!$A$3:$A$17))*(Guts!F89/100)</f>
        <v>0</v>
      </c>
      <c r="AL89" s="46">
        <f t="shared" si="13"/>
        <v>0</v>
      </c>
      <c r="AP89" s="46">
        <f t="shared" si="14"/>
        <v>0</v>
      </c>
      <c r="AQ89" s="48">
        <f t="shared" si="15"/>
        <v>0</v>
      </c>
      <c r="AR89" s="48" t="e">
        <f t="shared" ca="1" si="16"/>
        <v>#N/A</v>
      </c>
    </row>
    <row r="90" spans="1:44">
      <c r="A90" s="6"/>
      <c r="B90" s="6"/>
      <c r="C90" s="6"/>
      <c r="D90" s="6"/>
      <c r="E90" s="6"/>
      <c r="F90" s="34">
        <v>88</v>
      </c>
      <c r="G90" s="46">
        <f t="shared" ca="1" si="0"/>
        <v>7040</v>
      </c>
      <c r="H90" s="34" t="e">
        <f t="shared" si="1"/>
        <v>#N/A</v>
      </c>
      <c r="J90" s="34" t="e">
        <f t="shared" ca="1" si="2"/>
        <v>#N/A</v>
      </c>
      <c r="K90" s="34" t="e">
        <f ca="1">IF($D$32=1,$B$48*J90+$C$48,IF($D$32=2,$B$48*J90^2+$C$48*J90+$D$48,IF($D$32=3,$B$48*J90^3+$C$48*J90^2+$D$48*J90+$E$48,IF($D$32=4,$B$48*J90^'Double Analysis'!$G$13,IF($D$32=5,EXP($C$48)*J90^$B$48,IF($D$32=6,EXP($C$48+J90*$B$48),NA()))))))</f>
        <v>#N/A</v>
      </c>
      <c r="L90" s="34" t="e">
        <f ca="1">IF($D$32=1,$B$54*J90+$C$54,IF($D$32=2,$B$54*J90^2+$C$54*J90+$D$54,IF($D$32=3,$B$54*J90^3+$C$54*J90^2+$D$54*J90+$E$54,IF($D$32=4,$B$54*J90^'Double Analysis'!$G$13,IF($D$32=5,EXP($C$54)*J90^$B$54,IF($D$32=6,EXP($C$54+J90*$B$54),NA()))))))</f>
        <v>#N/A</v>
      </c>
      <c r="N90" s="34" t="e">
        <f t="shared" ca="1" si="3"/>
        <v>#N/A</v>
      </c>
      <c r="O90" s="34" t="e">
        <f t="shared" ca="1" si="4"/>
        <v>#N/A</v>
      </c>
      <c r="P90" s="34" t="e">
        <f t="shared" si="5"/>
        <v>#N/A</v>
      </c>
      <c r="R90" s="34" t="str">
        <f t="shared" si="6"/>
        <v/>
      </c>
      <c r="Y90" s="34" t="str">
        <f t="shared" si="7"/>
        <v xml:space="preserve"> </v>
      </c>
      <c r="Z90" s="34" t="e">
        <f t="shared" ca="1" si="8"/>
        <v>#N/A</v>
      </c>
      <c r="AA90" s="34" t="e">
        <f t="array" aca="1" ref="AA90" ca="1">IF(ISNUMBER(Z90),INDEX(DA_y1data,MATCH(Z90,$Y$2:$Y$102,0)),NA())</f>
        <v>#N/A</v>
      </c>
      <c r="AB90" s="34" t="e">
        <f t="shared" si="9"/>
        <v>#N/A</v>
      </c>
      <c r="AC90" s="34" t="str">
        <f t="shared" si="10"/>
        <v xml:space="preserve"> </v>
      </c>
      <c r="AD90" s="34" t="e">
        <f t="shared" ca="1" si="11"/>
        <v>#N/A</v>
      </c>
      <c r="AE90" s="34" t="e">
        <f t="array" aca="1" ref="AE90" ca="1">IF(ISNUMBER(AD90),INDEX(DA_y2data,MATCH(AD90,$AC$2:$AC$102,0)),NA())</f>
        <v>#N/A</v>
      </c>
      <c r="AF90" s="34" t="e">
        <f t="shared" si="12"/>
        <v>#N/A</v>
      </c>
      <c r="AK90" s="46">
        <f>MIN('Manual Fitting'!$A$3:$A$32)+(MAX('Manual Fitting'!$A$3:$A$32)-MIN('Manual Fitting'!$A$3:$A$17))*(Guts!F90/100)</f>
        <v>0</v>
      </c>
      <c r="AL90" s="46">
        <f t="shared" si="13"/>
        <v>0</v>
      </c>
      <c r="AP90" s="46">
        <f t="shared" si="14"/>
        <v>0</v>
      </c>
      <c r="AQ90" s="48">
        <f t="shared" si="15"/>
        <v>0</v>
      </c>
      <c r="AR90" s="48" t="e">
        <f t="shared" ca="1" si="16"/>
        <v>#N/A</v>
      </c>
    </row>
    <row r="91" spans="1:44">
      <c r="A91" s="6"/>
      <c r="B91" s="6"/>
      <c r="C91" s="6"/>
      <c r="D91" s="6"/>
      <c r="E91" s="6"/>
      <c r="F91" s="34">
        <v>89</v>
      </c>
      <c r="G91" s="46">
        <f t="shared" ca="1" si="0"/>
        <v>7120</v>
      </c>
      <c r="H91" s="34" t="e">
        <f t="shared" si="1"/>
        <v>#N/A</v>
      </c>
      <c r="J91" s="34" t="e">
        <f t="shared" ca="1" si="2"/>
        <v>#N/A</v>
      </c>
      <c r="K91" s="34" t="e">
        <f ca="1">IF($D$32=1,$B$48*J91+$C$48,IF($D$32=2,$B$48*J91^2+$C$48*J91+$D$48,IF($D$32=3,$B$48*J91^3+$C$48*J91^2+$D$48*J91+$E$48,IF($D$32=4,$B$48*J91^'Double Analysis'!$G$13,IF($D$32=5,EXP($C$48)*J91^$B$48,IF($D$32=6,EXP($C$48+J91*$B$48),NA()))))))</f>
        <v>#N/A</v>
      </c>
      <c r="L91" s="34" t="e">
        <f ca="1">IF($D$32=1,$B$54*J91+$C$54,IF($D$32=2,$B$54*J91^2+$C$54*J91+$D$54,IF($D$32=3,$B$54*J91^3+$C$54*J91^2+$D$54*J91+$E$54,IF($D$32=4,$B$54*J91^'Double Analysis'!$G$13,IF($D$32=5,EXP($C$54)*J91^$B$54,IF($D$32=6,EXP($C$54+J91*$B$54),NA()))))))</f>
        <v>#N/A</v>
      </c>
      <c r="N91" s="34" t="e">
        <f t="shared" ca="1" si="3"/>
        <v>#N/A</v>
      </c>
      <c r="O91" s="34" t="e">
        <f t="shared" ca="1" si="4"/>
        <v>#N/A</v>
      </c>
      <c r="P91" s="34" t="e">
        <f t="shared" si="5"/>
        <v>#N/A</v>
      </c>
      <c r="R91" s="34" t="str">
        <f t="shared" si="6"/>
        <v/>
      </c>
      <c r="Y91" s="34" t="str">
        <f t="shared" si="7"/>
        <v xml:space="preserve"> </v>
      </c>
      <c r="Z91" s="34" t="e">
        <f t="shared" ca="1" si="8"/>
        <v>#N/A</v>
      </c>
      <c r="AA91" s="34" t="e">
        <f t="array" aca="1" ref="AA91" ca="1">IF(ISNUMBER(Z91),INDEX(DA_y1data,MATCH(Z91,$Y$2:$Y$102,0)),NA())</f>
        <v>#N/A</v>
      </c>
      <c r="AB91" s="34" t="e">
        <f t="shared" si="9"/>
        <v>#N/A</v>
      </c>
      <c r="AC91" s="34" t="str">
        <f t="shared" si="10"/>
        <v xml:space="preserve"> </v>
      </c>
      <c r="AD91" s="34" t="e">
        <f t="shared" ca="1" si="11"/>
        <v>#N/A</v>
      </c>
      <c r="AE91" s="34" t="e">
        <f t="array" aca="1" ref="AE91" ca="1">IF(ISNUMBER(AD91),INDEX(DA_y2data,MATCH(AD91,$AC$2:$AC$102,0)),NA())</f>
        <v>#N/A</v>
      </c>
      <c r="AF91" s="34" t="e">
        <f t="shared" si="12"/>
        <v>#N/A</v>
      </c>
      <c r="AK91" s="46">
        <f>MIN('Manual Fitting'!$A$3:$A$32)+(MAX('Manual Fitting'!$A$3:$A$32)-MIN('Manual Fitting'!$A$3:$A$17))*(Guts!F91/100)</f>
        <v>0</v>
      </c>
      <c r="AL91" s="46">
        <f t="shared" si="13"/>
        <v>0</v>
      </c>
      <c r="AP91" s="46">
        <f t="shared" si="14"/>
        <v>0</v>
      </c>
      <c r="AQ91" s="48">
        <f t="shared" si="15"/>
        <v>0</v>
      </c>
      <c r="AR91" s="48" t="e">
        <f t="shared" ca="1" si="16"/>
        <v>#N/A</v>
      </c>
    </row>
    <row r="92" spans="1:44">
      <c r="A92" s="6"/>
      <c r="B92" s="6"/>
      <c r="C92" s="6"/>
      <c r="D92" s="6"/>
      <c r="E92" s="6"/>
      <c r="F92" s="34">
        <v>90</v>
      </c>
      <c r="G92" s="46">
        <f t="shared" ca="1" si="0"/>
        <v>7200</v>
      </c>
      <c r="H92" s="34" t="e">
        <f t="shared" si="1"/>
        <v>#N/A</v>
      </c>
      <c r="J92" s="34" t="e">
        <f t="shared" ca="1" si="2"/>
        <v>#N/A</v>
      </c>
      <c r="K92" s="34" t="e">
        <f ca="1">IF($D$32=1,$B$48*J92+$C$48,IF($D$32=2,$B$48*J92^2+$C$48*J92+$D$48,IF($D$32=3,$B$48*J92^3+$C$48*J92^2+$D$48*J92+$E$48,IF($D$32=4,$B$48*J92^'Double Analysis'!$G$13,IF($D$32=5,EXP($C$48)*J92^$B$48,IF($D$32=6,EXP($C$48+J92*$B$48),NA()))))))</f>
        <v>#N/A</v>
      </c>
      <c r="L92" s="34" t="e">
        <f ca="1">IF($D$32=1,$B$54*J92+$C$54,IF($D$32=2,$B$54*J92^2+$C$54*J92+$D$54,IF($D$32=3,$B$54*J92^3+$C$54*J92^2+$D$54*J92+$E$54,IF($D$32=4,$B$54*J92^'Double Analysis'!$G$13,IF($D$32=5,EXP($C$54)*J92^$B$54,IF($D$32=6,EXP($C$54+J92*$B$54),NA()))))))</f>
        <v>#N/A</v>
      </c>
      <c r="N92" s="34" t="e">
        <f t="shared" ca="1" si="3"/>
        <v>#N/A</v>
      </c>
      <c r="O92" s="34" t="e">
        <f t="shared" ca="1" si="4"/>
        <v>#N/A</v>
      </c>
      <c r="P92" s="34" t="e">
        <f t="shared" si="5"/>
        <v>#N/A</v>
      </c>
      <c r="R92" s="34" t="str">
        <f t="shared" si="6"/>
        <v/>
      </c>
      <c r="Y92" s="34" t="str">
        <f t="shared" si="7"/>
        <v xml:space="preserve"> </v>
      </c>
      <c r="Z92" s="34" t="e">
        <f t="shared" ca="1" si="8"/>
        <v>#N/A</v>
      </c>
      <c r="AA92" s="34" t="e">
        <f t="array" aca="1" ref="AA92" ca="1">IF(ISNUMBER(Z92),INDEX(DA_y1data,MATCH(Z92,$Y$2:$Y$102,0)),NA())</f>
        <v>#N/A</v>
      </c>
      <c r="AB92" s="34" t="e">
        <f t="shared" si="9"/>
        <v>#N/A</v>
      </c>
      <c r="AC92" s="34" t="str">
        <f t="shared" si="10"/>
        <v xml:space="preserve"> </v>
      </c>
      <c r="AD92" s="34" t="e">
        <f t="shared" ca="1" si="11"/>
        <v>#N/A</v>
      </c>
      <c r="AE92" s="34" t="e">
        <f t="array" aca="1" ref="AE92" ca="1">IF(ISNUMBER(AD92),INDEX(DA_y2data,MATCH(AD92,$AC$2:$AC$102,0)),NA())</f>
        <v>#N/A</v>
      </c>
      <c r="AF92" s="34" t="e">
        <f t="shared" si="12"/>
        <v>#N/A</v>
      </c>
      <c r="AK92" s="46">
        <f>MIN('Manual Fitting'!$A$3:$A$32)+(MAX('Manual Fitting'!$A$3:$A$32)-MIN('Manual Fitting'!$A$3:$A$17))*(Guts!F92/100)</f>
        <v>0</v>
      </c>
      <c r="AL92" s="46">
        <f t="shared" si="13"/>
        <v>0</v>
      </c>
      <c r="AP92" s="46">
        <f t="shared" si="14"/>
        <v>0</v>
      </c>
      <c r="AQ92" s="48">
        <f t="shared" si="15"/>
        <v>0</v>
      </c>
      <c r="AR92" s="48" t="e">
        <f t="shared" ca="1" si="16"/>
        <v>#N/A</v>
      </c>
    </row>
    <row r="93" spans="1:44">
      <c r="A93" s="6"/>
      <c r="B93" s="6"/>
      <c r="C93" s="6"/>
      <c r="D93" s="6"/>
      <c r="E93" s="6"/>
      <c r="F93" s="34">
        <v>91</v>
      </c>
      <c r="G93" s="46">
        <f t="shared" ca="1" si="0"/>
        <v>7280</v>
      </c>
      <c r="H93" s="34" t="e">
        <f t="shared" si="1"/>
        <v>#N/A</v>
      </c>
      <c r="J93" s="34" t="e">
        <f t="shared" ca="1" si="2"/>
        <v>#N/A</v>
      </c>
      <c r="K93" s="34" t="e">
        <f ca="1">IF($D$32=1,$B$48*J93+$C$48,IF($D$32=2,$B$48*J93^2+$C$48*J93+$D$48,IF($D$32=3,$B$48*J93^3+$C$48*J93^2+$D$48*J93+$E$48,IF($D$32=4,$B$48*J93^'Double Analysis'!$G$13,IF($D$32=5,EXP($C$48)*J93^$B$48,IF($D$32=6,EXP($C$48+J93*$B$48),NA()))))))</f>
        <v>#N/A</v>
      </c>
      <c r="L93" s="34" t="e">
        <f ca="1">IF($D$32=1,$B$54*J93+$C$54,IF($D$32=2,$B$54*J93^2+$C$54*J93+$D$54,IF($D$32=3,$B$54*J93^3+$C$54*J93^2+$D$54*J93+$E$54,IF($D$32=4,$B$54*J93^'Double Analysis'!$G$13,IF($D$32=5,EXP($C$54)*J93^$B$54,IF($D$32=6,EXP($C$54+J93*$B$54),NA()))))))</f>
        <v>#N/A</v>
      </c>
      <c r="N93" s="34" t="e">
        <f t="shared" ca="1" si="3"/>
        <v>#N/A</v>
      </c>
      <c r="O93" s="34" t="e">
        <f t="shared" ca="1" si="4"/>
        <v>#N/A</v>
      </c>
      <c r="P93" s="34" t="e">
        <f t="shared" si="5"/>
        <v>#N/A</v>
      </c>
      <c r="R93" s="34" t="str">
        <f t="shared" si="6"/>
        <v/>
      </c>
      <c r="Y93" s="34" t="str">
        <f t="shared" si="7"/>
        <v xml:space="preserve"> </v>
      </c>
      <c r="Z93" s="34" t="e">
        <f t="shared" ca="1" si="8"/>
        <v>#N/A</v>
      </c>
      <c r="AA93" s="34" t="e">
        <f t="array" aca="1" ref="AA93" ca="1">IF(ISNUMBER(Z93),INDEX(DA_y1data,MATCH(Z93,$Y$2:$Y$102,0)),NA())</f>
        <v>#N/A</v>
      </c>
      <c r="AB93" s="34" t="e">
        <f t="shared" si="9"/>
        <v>#N/A</v>
      </c>
      <c r="AC93" s="34" t="str">
        <f t="shared" si="10"/>
        <v xml:space="preserve"> </v>
      </c>
      <c r="AD93" s="34" t="e">
        <f t="shared" ca="1" si="11"/>
        <v>#N/A</v>
      </c>
      <c r="AE93" s="34" t="e">
        <f t="array" aca="1" ref="AE93" ca="1">IF(ISNUMBER(AD93),INDEX(DA_y2data,MATCH(AD93,$AC$2:$AC$102,0)),NA())</f>
        <v>#N/A</v>
      </c>
      <c r="AF93" s="34" t="e">
        <f t="shared" si="12"/>
        <v>#N/A</v>
      </c>
      <c r="AK93" s="46">
        <f>MIN('Manual Fitting'!$A$3:$A$32)+(MAX('Manual Fitting'!$A$3:$A$32)-MIN('Manual Fitting'!$A$3:$A$17))*(Guts!F93/100)</f>
        <v>0</v>
      </c>
      <c r="AL93" s="46">
        <f t="shared" si="13"/>
        <v>0</v>
      </c>
      <c r="AP93" s="46">
        <f t="shared" si="14"/>
        <v>0</v>
      </c>
      <c r="AQ93" s="48">
        <f t="shared" si="15"/>
        <v>0</v>
      </c>
      <c r="AR93" s="48" t="e">
        <f t="shared" ca="1" si="16"/>
        <v>#N/A</v>
      </c>
    </row>
    <row r="94" spans="1:44">
      <c r="A94" s="6"/>
      <c r="B94" s="6"/>
      <c r="C94" s="6"/>
      <c r="D94" s="6"/>
      <c r="E94" s="6"/>
      <c r="F94" s="34">
        <v>92</v>
      </c>
      <c r="G94" s="46">
        <f t="shared" ca="1" si="0"/>
        <v>7360</v>
      </c>
      <c r="H94" s="34" t="e">
        <f t="shared" si="1"/>
        <v>#N/A</v>
      </c>
      <c r="J94" s="34" t="e">
        <f t="shared" ca="1" si="2"/>
        <v>#N/A</v>
      </c>
      <c r="K94" s="34" t="e">
        <f ca="1">IF($D$32=1,$B$48*J94+$C$48,IF($D$32=2,$B$48*J94^2+$C$48*J94+$D$48,IF($D$32=3,$B$48*J94^3+$C$48*J94^2+$D$48*J94+$E$48,IF($D$32=4,$B$48*J94^'Double Analysis'!$G$13,IF($D$32=5,EXP($C$48)*J94^$B$48,IF($D$32=6,EXP($C$48+J94*$B$48),NA()))))))</f>
        <v>#N/A</v>
      </c>
      <c r="L94" s="34" t="e">
        <f ca="1">IF($D$32=1,$B$54*J94+$C$54,IF($D$32=2,$B$54*J94^2+$C$54*J94+$D$54,IF($D$32=3,$B$54*J94^3+$C$54*J94^2+$D$54*J94+$E$54,IF($D$32=4,$B$54*J94^'Double Analysis'!$G$13,IF($D$32=5,EXP($C$54)*J94^$B$54,IF($D$32=6,EXP($C$54+J94*$B$54),NA()))))))</f>
        <v>#N/A</v>
      </c>
      <c r="N94" s="34" t="e">
        <f t="shared" ca="1" si="3"/>
        <v>#N/A</v>
      </c>
      <c r="O94" s="34" t="e">
        <f t="shared" ca="1" si="4"/>
        <v>#N/A</v>
      </c>
      <c r="P94" s="34" t="e">
        <f t="shared" si="5"/>
        <v>#N/A</v>
      </c>
      <c r="R94" s="34" t="str">
        <f t="shared" si="6"/>
        <v/>
      </c>
      <c r="Y94" s="34" t="str">
        <f t="shared" si="7"/>
        <v xml:space="preserve"> </v>
      </c>
      <c r="Z94" s="34" t="e">
        <f t="shared" ca="1" si="8"/>
        <v>#N/A</v>
      </c>
      <c r="AA94" s="34" t="e">
        <f t="array" aca="1" ref="AA94" ca="1">IF(ISNUMBER(Z94),INDEX(DA_y1data,MATCH(Z94,$Y$2:$Y$102,0)),NA())</f>
        <v>#N/A</v>
      </c>
      <c r="AB94" s="34" t="e">
        <f t="shared" si="9"/>
        <v>#N/A</v>
      </c>
      <c r="AC94" s="34" t="str">
        <f t="shared" si="10"/>
        <v xml:space="preserve"> </v>
      </c>
      <c r="AD94" s="34" t="e">
        <f t="shared" ca="1" si="11"/>
        <v>#N/A</v>
      </c>
      <c r="AE94" s="34" t="e">
        <f t="array" aca="1" ref="AE94" ca="1">IF(ISNUMBER(AD94),INDEX(DA_y2data,MATCH(AD94,$AC$2:$AC$102,0)),NA())</f>
        <v>#N/A</v>
      </c>
      <c r="AF94" s="34" t="e">
        <f t="shared" si="12"/>
        <v>#N/A</v>
      </c>
      <c r="AK94" s="46">
        <f>MIN('Manual Fitting'!$A$3:$A$32)+(MAX('Manual Fitting'!$A$3:$A$32)-MIN('Manual Fitting'!$A$3:$A$17))*(Guts!F94/100)</f>
        <v>0</v>
      </c>
      <c r="AL94" s="46">
        <f t="shared" si="13"/>
        <v>0</v>
      </c>
      <c r="AP94" s="46">
        <f t="shared" si="14"/>
        <v>0</v>
      </c>
      <c r="AQ94" s="48">
        <f t="shared" si="15"/>
        <v>0</v>
      </c>
      <c r="AR94" s="48" t="e">
        <f t="shared" ca="1" si="16"/>
        <v>#N/A</v>
      </c>
    </row>
    <row r="95" spans="1:44">
      <c r="A95" s="6"/>
      <c r="B95" s="6"/>
      <c r="C95" s="6"/>
      <c r="D95" s="6"/>
      <c r="E95" s="6"/>
      <c r="F95" s="34">
        <v>93</v>
      </c>
      <c r="G95" s="46">
        <f t="shared" ca="1" si="0"/>
        <v>7440</v>
      </c>
      <c r="H95" s="34" t="e">
        <f t="shared" si="1"/>
        <v>#N/A</v>
      </c>
      <c r="J95" s="34" t="e">
        <f t="shared" ca="1" si="2"/>
        <v>#N/A</v>
      </c>
      <c r="K95" s="34" t="e">
        <f ca="1">IF($D$32=1,$B$48*J95+$C$48,IF($D$32=2,$B$48*J95^2+$C$48*J95+$D$48,IF($D$32=3,$B$48*J95^3+$C$48*J95^2+$D$48*J95+$E$48,IF($D$32=4,$B$48*J95^'Double Analysis'!$G$13,IF($D$32=5,EXP($C$48)*J95^$B$48,IF($D$32=6,EXP($C$48+J95*$B$48),NA()))))))</f>
        <v>#N/A</v>
      </c>
      <c r="L95" s="34" t="e">
        <f ca="1">IF($D$32=1,$B$54*J95+$C$54,IF($D$32=2,$B$54*J95^2+$C$54*J95+$D$54,IF($D$32=3,$B$54*J95^3+$C$54*J95^2+$D$54*J95+$E$54,IF($D$32=4,$B$54*J95^'Double Analysis'!$G$13,IF($D$32=5,EXP($C$54)*J95^$B$54,IF($D$32=6,EXP($C$54+J95*$B$54),NA()))))))</f>
        <v>#N/A</v>
      </c>
      <c r="N95" s="34" t="e">
        <f t="shared" ca="1" si="3"/>
        <v>#N/A</v>
      </c>
      <c r="O95" s="34" t="e">
        <f t="shared" ca="1" si="4"/>
        <v>#N/A</v>
      </c>
      <c r="P95" s="34" t="e">
        <f t="shared" si="5"/>
        <v>#N/A</v>
      </c>
      <c r="R95" s="34" t="str">
        <f t="shared" si="6"/>
        <v/>
      </c>
      <c r="Y95" s="34" t="str">
        <f t="shared" si="7"/>
        <v xml:space="preserve"> </v>
      </c>
      <c r="Z95" s="34" t="e">
        <f t="shared" ca="1" si="8"/>
        <v>#N/A</v>
      </c>
      <c r="AA95" s="34" t="e">
        <f t="array" aca="1" ref="AA95" ca="1">IF(ISNUMBER(Z95),INDEX(DA_y1data,MATCH(Z95,$Y$2:$Y$102,0)),NA())</f>
        <v>#N/A</v>
      </c>
      <c r="AB95" s="34" t="e">
        <f t="shared" si="9"/>
        <v>#N/A</v>
      </c>
      <c r="AC95" s="34" t="str">
        <f t="shared" si="10"/>
        <v xml:space="preserve"> </v>
      </c>
      <c r="AD95" s="34" t="e">
        <f t="shared" ca="1" si="11"/>
        <v>#N/A</v>
      </c>
      <c r="AE95" s="34" t="e">
        <f t="array" aca="1" ref="AE95" ca="1">IF(ISNUMBER(AD95),INDEX(DA_y2data,MATCH(AD95,$AC$2:$AC$102,0)),NA())</f>
        <v>#N/A</v>
      </c>
      <c r="AF95" s="34" t="e">
        <f t="shared" si="12"/>
        <v>#N/A</v>
      </c>
      <c r="AK95" s="46">
        <f>MIN('Manual Fitting'!$A$3:$A$32)+(MAX('Manual Fitting'!$A$3:$A$32)-MIN('Manual Fitting'!$A$3:$A$17))*(Guts!F95/100)</f>
        <v>0</v>
      </c>
      <c r="AL95" s="46">
        <f t="shared" si="13"/>
        <v>0</v>
      </c>
      <c r="AP95" s="46">
        <f t="shared" si="14"/>
        <v>0</v>
      </c>
      <c r="AQ95" s="48">
        <f t="shared" si="15"/>
        <v>0</v>
      </c>
      <c r="AR95" s="48" t="e">
        <f t="shared" ca="1" si="16"/>
        <v>#N/A</v>
      </c>
    </row>
    <row r="96" spans="1:44">
      <c r="A96" s="6"/>
      <c r="B96" s="6"/>
      <c r="C96" s="6"/>
      <c r="D96" s="6"/>
      <c r="E96" s="6"/>
      <c r="F96" s="34">
        <v>94</v>
      </c>
      <c r="G96" s="46">
        <f t="shared" ca="1" si="0"/>
        <v>7520</v>
      </c>
      <c r="H96" s="34" t="e">
        <f t="shared" si="1"/>
        <v>#N/A</v>
      </c>
      <c r="J96" s="34" t="e">
        <f t="shared" ca="1" si="2"/>
        <v>#N/A</v>
      </c>
      <c r="K96" s="34" t="e">
        <f ca="1">IF($D$32=1,$B$48*J96+$C$48,IF($D$32=2,$B$48*J96^2+$C$48*J96+$D$48,IF($D$32=3,$B$48*J96^3+$C$48*J96^2+$D$48*J96+$E$48,IF($D$32=4,$B$48*J96^'Double Analysis'!$G$13,IF($D$32=5,EXP($C$48)*J96^$B$48,IF($D$32=6,EXP($C$48+J96*$B$48),NA()))))))</f>
        <v>#N/A</v>
      </c>
      <c r="L96" s="34" t="e">
        <f ca="1">IF($D$32=1,$B$54*J96+$C$54,IF($D$32=2,$B$54*J96^2+$C$54*J96+$D$54,IF($D$32=3,$B$54*J96^3+$C$54*J96^2+$D$54*J96+$E$54,IF($D$32=4,$B$54*J96^'Double Analysis'!$G$13,IF($D$32=5,EXP($C$54)*J96^$B$54,IF($D$32=6,EXP($C$54+J96*$B$54),NA()))))))</f>
        <v>#N/A</v>
      </c>
      <c r="N96" s="34" t="e">
        <f t="shared" ca="1" si="3"/>
        <v>#N/A</v>
      </c>
      <c r="O96" s="34" t="e">
        <f t="shared" ca="1" si="4"/>
        <v>#N/A</v>
      </c>
      <c r="P96" s="34" t="e">
        <f t="shared" si="5"/>
        <v>#N/A</v>
      </c>
      <c r="R96" s="34" t="str">
        <f t="shared" si="6"/>
        <v/>
      </c>
      <c r="Y96" s="34" t="str">
        <f t="shared" si="7"/>
        <v xml:space="preserve"> </v>
      </c>
      <c r="Z96" s="34" t="e">
        <f t="shared" ca="1" si="8"/>
        <v>#N/A</v>
      </c>
      <c r="AA96" s="34" t="e">
        <f t="array" aca="1" ref="AA96" ca="1">IF(ISNUMBER(Z96),INDEX(DA_y1data,MATCH(Z96,$Y$2:$Y$102,0)),NA())</f>
        <v>#N/A</v>
      </c>
      <c r="AB96" s="34" t="e">
        <f t="shared" si="9"/>
        <v>#N/A</v>
      </c>
      <c r="AC96" s="34" t="str">
        <f t="shared" si="10"/>
        <v xml:space="preserve"> </v>
      </c>
      <c r="AD96" s="34" t="e">
        <f t="shared" ca="1" si="11"/>
        <v>#N/A</v>
      </c>
      <c r="AE96" s="34" t="e">
        <f t="array" aca="1" ref="AE96" ca="1">IF(ISNUMBER(AD96),INDEX(DA_y2data,MATCH(AD96,$AC$2:$AC$102,0)),NA())</f>
        <v>#N/A</v>
      </c>
      <c r="AF96" s="34" t="e">
        <f t="shared" si="12"/>
        <v>#N/A</v>
      </c>
      <c r="AK96" s="46">
        <f>MIN('Manual Fitting'!$A$3:$A$32)+(MAX('Manual Fitting'!$A$3:$A$32)-MIN('Manual Fitting'!$A$3:$A$17))*(Guts!F96/100)</f>
        <v>0</v>
      </c>
      <c r="AL96" s="46">
        <f t="shared" si="13"/>
        <v>0</v>
      </c>
      <c r="AP96" s="46">
        <f t="shared" si="14"/>
        <v>0</v>
      </c>
      <c r="AQ96" s="48">
        <f t="shared" si="15"/>
        <v>0</v>
      </c>
      <c r="AR96" s="48" t="e">
        <f t="shared" ca="1" si="16"/>
        <v>#N/A</v>
      </c>
    </row>
    <row r="97" spans="1:44">
      <c r="A97" s="6"/>
      <c r="B97" s="6"/>
      <c r="C97" s="6"/>
      <c r="D97" s="6"/>
      <c r="E97" s="6"/>
      <c r="F97" s="34">
        <v>95</v>
      </c>
      <c r="G97" s="46">
        <f t="shared" ca="1" si="0"/>
        <v>7600</v>
      </c>
      <c r="H97" s="34" t="e">
        <f t="shared" si="1"/>
        <v>#N/A</v>
      </c>
      <c r="J97" s="34" t="e">
        <f t="shared" ca="1" si="2"/>
        <v>#N/A</v>
      </c>
      <c r="K97" s="34" t="e">
        <f ca="1">IF($D$32=1,$B$48*J97+$C$48,IF($D$32=2,$B$48*J97^2+$C$48*J97+$D$48,IF($D$32=3,$B$48*J97^3+$C$48*J97^2+$D$48*J97+$E$48,IF($D$32=4,$B$48*J97^'Double Analysis'!$G$13,IF($D$32=5,EXP($C$48)*J97^$B$48,IF($D$32=6,EXP($C$48+J97*$B$48),NA()))))))</f>
        <v>#N/A</v>
      </c>
      <c r="L97" s="34" t="e">
        <f ca="1">IF($D$32=1,$B$54*J97+$C$54,IF($D$32=2,$B$54*J97^2+$C$54*J97+$D$54,IF($D$32=3,$B$54*J97^3+$C$54*J97^2+$D$54*J97+$E$54,IF($D$32=4,$B$54*J97^'Double Analysis'!$G$13,IF($D$32=5,EXP($C$54)*J97^$B$54,IF($D$32=6,EXP($C$54+J97*$B$54),NA()))))))</f>
        <v>#N/A</v>
      </c>
      <c r="N97" s="34" t="e">
        <f t="shared" ca="1" si="3"/>
        <v>#N/A</v>
      </c>
      <c r="O97" s="34" t="e">
        <f t="shared" ca="1" si="4"/>
        <v>#N/A</v>
      </c>
      <c r="P97" s="34" t="e">
        <f t="shared" si="5"/>
        <v>#N/A</v>
      </c>
      <c r="R97" s="34" t="str">
        <f t="shared" si="6"/>
        <v/>
      </c>
      <c r="Y97" s="34" t="str">
        <f t="shared" si="7"/>
        <v xml:space="preserve"> </v>
      </c>
      <c r="Z97" s="34" t="e">
        <f t="shared" ca="1" si="8"/>
        <v>#N/A</v>
      </c>
      <c r="AA97" s="34" t="e">
        <f t="array" aca="1" ref="AA97" ca="1">IF(ISNUMBER(Z97),INDEX(DA_y1data,MATCH(Z97,$Y$2:$Y$102,0)),NA())</f>
        <v>#N/A</v>
      </c>
      <c r="AB97" s="34" t="e">
        <f t="shared" si="9"/>
        <v>#N/A</v>
      </c>
      <c r="AC97" s="34" t="str">
        <f t="shared" si="10"/>
        <v xml:space="preserve"> </v>
      </c>
      <c r="AD97" s="34" t="e">
        <f t="shared" ca="1" si="11"/>
        <v>#N/A</v>
      </c>
      <c r="AE97" s="34" t="e">
        <f t="array" aca="1" ref="AE97" ca="1">IF(ISNUMBER(AD97),INDEX(DA_y2data,MATCH(AD97,$AC$2:$AC$102,0)),NA())</f>
        <v>#N/A</v>
      </c>
      <c r="AF97" s="34" t="e">
        <f t="shared" si="12"/>
        <v>#N/A</v>
      </c>
      <c r="AK97" s="46">
        <f>MIN('Manual Fitting'!$A$3:$A$32)+(MAX('Manual Fitting'!$A$3:$A$32)-MIN('Manual Fitting'!$A$3:$A$17))*(Guts!F97/100)</f>
        <v>0</v>
      </c>
      <c r="AL97" s="46">
        <f t="shared" si="13"/>
        <v>0</v>
      </c>
      <c r="AP97" s="46">
        <f t="shared" si="14"/>
        <v>0</v>
      </c>
      <c r="AQ97" s="48">
        <f t="shared" si="15"/>
        <v>0</v>
      </c>
      <c r="AR97" s="48" t="e">
        <f t="shared" ca="1" si="16"/>
        <v>#N/A</v>
      </c>
    </row>
    <row r="98" spans="1:44">
      <c r="A98" s="6"/>
      <c r="B98" s="6"/>
      <c r="C98" s="6"/>
      <c r="D98" s="6"/>
      <c r="E98" s="6"/>
      <c r="F98" s="34">
        <v>96</v>
      </c>
      <c r="G98" s="46">
        <f t="shared" ca="1" si="0"/>
        <v>7680</v>
      </c>
      <c r="H98" s="34" t="e">
        <f t="shared" si="1"/>
        <v>#N/A</v>
      </c>
      <c r="J98" s="34" t="e">
        <f t="shared" ca="1" si="2"/>
        <v>#N/A</v>
      </c>
      <c r="K98" s="34" t="e">
        <f ca="1">IF($D$32=1,$B$48*J98+$C$48,IF($D$32=2,$B$48*J98^2+$C$48*J98+$D$48,IF($D$32=3,$B$48*J98^3+$C$48*J98^2+$D$48*J98+$E$48,IF($D$32=4,$B$48*J98^'Double Analysis'!$G$13,IF($D$32=5,EXP($C$48)*J98^$B$48,IF($D$32=6,EXP($C$48+J98*$B$48),NA()))))))</f>
        <v>#N/A</v>
      </c>
      <c r="L98" s="34" t="e">
        <f ca="1">IF($D$32=1,$B$54*J98+$C$54,IF($D$32=2,$B$54*J98^2+$C$54*J98+$D$54,IF($D$32=3,$B$54*J98^3+$C$54*J98^2+$D$54*J98+$E$54,IF($D$32=4,$B$54*J98^'Double Analysis'!$G$13,IF($D$32=5,EXP($C$54)*J98^$B$54,IF($D$32=6,EXP($C$54+J98*$B$54),NA()))))))</f>
        <v>#N/A</v>
      </c>
      <c r="N98" s="34" t="e">
        <f t="shared" ca="1" si="3"/>
        <v>#N/A</v>
      </c>
      <c r="O98" s="34" t="e">
        <f t="shared" ca="1" si="4"/>
        <v>#N/A</v>
      </c>
      <c r="P98" s="34" t="e">
        <f t="shared" si="5"/>
        <v>#N/A</v>
      </c>
      <c r="R98" s="34" t="str">
        <f t="shared" si="6"/>
        <v/>
      </c>
      <c r="Y98" s="34" t="str">
        <f t="shared" si="7"/>
        <v xml:space="preserve"> </v>
      </c>
      <c r="Z98" s="34" t="e">
        <f t="shared" ca="1" si="8"/>
        <v>#N/A</v>
      </c>
      <c r="AA98" s="34" t="e">
        <f t="array" aca="1" ref="AA98" ca="1">IF(ISNUMBER(Z98),INDEX(DA_y1data,MATCH(Z98,$Y$2:$Y$102,0)),NA())</f>
        <v>#N/A</v>
      </c>
      <c r="AB98" s="34" t="e">
        <f t="shared" si="9"/>
        <v>#N/A</v>
      </c>
      <c r="AC98" s="34" t="str">
        <f t="shared" si="10"/>
        <v xml:space="preserve"> </v>
      </c>
      <c r="AD98" s="34" t="e">
        <f t="shared" ca="1" si="11"/>
        <v>#N/A</v>
      </c>
      <c r="AE98" s="34" t="e">
        <f t="array" aca="1" ref="AE98" ca="1">IF(ISNUMBER(AD98),INDEX(DA_y2data,MATCH(AD98,$AC$2:$AC$102,0)),NA())</f>
        <v>#N/A</v>
      </c>
      <c r="AF98" s="34" t="e">
        <f t="shared" si="12"/>
        <v>#N/A</v>
      </c>
      <c r="AK98" s="46">
        <f>MIN('Manual Fitting'!$A$3:$A$32)+(MAX('Manual Fitting'!$A$3:$A$32)-MIN('Manual Fitting'!$A$3:$A$17))*(Guts!F98/100)</f>
        <v>0</v>
      </c>
      <c r="AL98" s="46">
        <f t="shared" si="13"/>
        <v>0</v>
      </c>
      <c r="AP98" s="46">
        <f t="shared" si="14"/>
        <v>0</v>
      </c>
      <c r="AQ98" s="48">
        <f t="shared" si="15"/>
        <v>0</v>
      </c>
      <c r="AR98" s="48" t="e">
        <f t="shared" ca="1" si="16"/>
        <v>#N/A</v>
      </c>
    </row>
    <row r="99" spans="1:44">
      <c r="A99" s="6"/>
      <c r="B99" s="6"/>
      <c r="C99" s="6"/>
      <c r="D99" s="6"/>
      <c r="E99" s="6"/>
      <c r="F99" s="34">
        <v>97</v>
      </c>
      <c r="G99" s="46">
        <f t="shared" ca="1" si="0"/>
        <v>7760</v>
      </c>
      <c r="H99" s="34" t="e">
        <f t="shared" si="1"/>
        <v>#N/A</v>
      </c>
      <c r="J99" s="34" t="e">
        <f t="shared" ca="1" si="2"/>
        <v>#N/A</v>
      </c>
      <c r="K99" s="34" t="e">
        <f ca="1">IF($D$32=1,$B$48*J99+$C$48,IF($D$32=2,$B$48*J99^2+$C$48*J99+$D$48,IF($D$32=3,$B$48*J99^3+$C$48*J99^2+$D$48*J99+$E$48,IF($D$32=4,$B$48*J99^'Double Analysis'!$G$13,IF($D$32=5,EXP($C$48)*J99^$B$48,IF($D$32=6,EXP($C$48+J99*$B$48),NA()))))))</f>
        <v>#N/A</v>
      </c>
      <c r="L99" s="34" t="e">
        <f ca="1">IF($D$32=1,$B$54*J99+$C$54,IF($D$32=2,$B$54*J99^2+$C$54*J99+$D$54,IF($D$32=3,$B$54*J99^3+$C$54*J99^2+$D$54*J99+$E$54,IF($D$32=4,$B$54*J99^'Double Analysis'!$G$13,IF($D$32=5,EXP($C$54)*J99^$B$54,IF($D$32=6,EXP($C$54+J99*$B$54),NA()))))))</f>
        <v>#N/A</v>
      </c>
      <c r="N99" s="34" t="e">
        <f t="shared" ca="1" si="3"/>
        <v>#N/A</v>
      </c>
      <c r="O99" s="34" t="e">
        <f t="shared" ca="1" si="4"/>
        <v>#N/A</v>
      </c>
      <c r="P99" s="34" t="e">
        <f t="shared" si="5"/>
        <v>#N/A</v>
      </c>
      <c r="R99" s="34" t="str">
        <f t="shared" si="6"/>
        <v/>
      </c>
      <c r="Y99" s="34" t="str">
        <f t="shared" si="7"/>
        <v xml:space="preserve"> </v>
      </c>
      <c r="Z99" s="34" t="e">
        <f t="shared" ca="1" si="8"/>
        <v>#N/A</v>
      </c>
      <c r="AA99" s="34" t="e">
        <f t="array" aca="1" ref="AA99" ca="1">IF(ISNUMBER(Z99),INDEX(DA_y1data,MATCH(Z99,$Y$2:$Y$102,0)),NA())</f>
        <v>#N/A</v>
      </c>
      <c r="AB99" s="34" t="e">
        <f t="shared" si="9"/>
        <v>#N/A</v>
      </c>
      <c r="AC99" s="34" t="str">
        <f t="shared" si="10"/>
        <v xml:space="preserve"> </v>
      </c>
      <c r="AD99" s="34" t="e">
        <f t="shared" ca="1" si="11"/>
        <v>#N/A</v>
      </c>
      <c r="AE99" s="34" t="e">
        <f t="array" aca="1" ref="AE99" ca="1">IF(ISNUMBER(AD99),INDEX(DA_y2data,MATCH(AD99,$AC$2:$AC$102,0)),NA())</f>
        <v>#N/A</v>
      </c>
      <c r="AF99" s="34" t="e">
        <f t="shared" si="12"/>
        <v>#N/A</v>
      </c>
      <c r="AK99" s="46">
        <f>MIN('Manual Fitting'!$A$3:$A$32)+(MAX('Manual Fitting'!$A$3:$A$32)-MIN('Manual Fitting'!$A$3:$A$17))*(Guts!F99/100)</f>
        <v>0</v>
      </c>
      <c r="AL99" s="46">
        <f t="shared" si="13"/>
        <v>0</v>
      </c>
      <c r="AP99" s="46">
        <f t="shared" si="14"/>
        <v>0</v>
      </c>
      <c r="AQ99" s="48">
        <f t="shared" si="15"/>
        <v>0</v>
      </c>
      <c r="AR99" s="48" t="e">
        <f t="shared" ca="1" si="16"/>
        <v>#N/A</v>
      </c>
    </row>
    <row r="100" spans="1:44">
      <c r="A100" s="6"/>
      <c r="B100" s="6"/>
      <c r="C100" s="6"/>
      <c r="D100" s="6"/>
      <c r="E100" s="6"/>
      <c r="F100" s="34">
        <v>98</v>
      </c>
      <c r="G100" s="46">
        <f t="shared" ca="1" si="0"/>
        <v>7840</v>
      </c>
      <c r="H100" s="34" t="e">
        <f t="shared" si="1"/>
        <v>#N/A</v>
      </c>
      <c r="J100" s="34" t="e">
        <f t="shared" ca="1" si="2"/>
        <v>#N/A</v>
      </c>
      <c r="K100" s="34" t="e">
        <f ca="1">IF($D$32=1,$B$48*J100+$C$48,IF($D$32=2,$B$48*J100^2+$C$48*J100+$D$48,IF($D$32=3,$B$48*J100^3+$C$48*J100^2+$D$48*J100+$E$48,IF($D$32=4,$B$48*J100^'Double Analysis'!$G$13,IF($D$32=5,EXP($C$48)*J100^$B$48,IF($D$32=6,EXP($C$48+J100*$B$48),NA()))))))</f>
        <v>#N/A</v>
      </c>
      <c r="L100" s="34" t="e">
        <f ca="1">IF($D$32=1,$B$54*J100+$C$54,IF($D$32=2,$B$54*J100^2+$C$54*J100+$D$54,IF($D$32=3,$B$54*J100^3+$C$54*J100^2+$D$54*J100+$E$54,IF($D$32=4,$B$54*J100^'Double Analysis'!$G$13,IF($D$32=5,EXP($C$54)*J100^$B$54,IF($D$32=6,EXP($C$54+J100*$B$54),NA()))))))</f>
        <v>#N/A</v>
      </c>
      <c r="N100" s="34" t="e">
        <f t="shared" ca="1" si="3"/>
        <v>#N/A</v>
      </c>
      <c r="O100" s="34" t="e">
        <f t="shared" ca="1" si="4"/>
        <v>#N/A</v>
      </c>
      <c r="P100" s="34" t="e">
        <f t="shared" si="5"/>
        <v>#N/A</v>
      </c>
      <c r="R100" s="34" t="str">
        <f t="shared" si="6"/>
        <v/>
      </c>
      <c r="Y100" s="34" t="str">
        <f t="shared" si="7"/>
        <v xml:space="preserve"> </v>
      </c>
      <c r="Z100" s="34" t="e">
        <f t="shared" ca="1" si="8"/>
        <v>#N/A</v>
      </c>
      <c r="AA100" s="34" t="e">
        <f t="array" aca="1" ref="AA100" ca="1">IF(ISNUMBER(Z100),INDEX(DA_y1data,MATCH(Z100,$Y$2:$Y$102,0)),NA())</f>
        <v>#N/A</v>
      </c>
      <c r="AB100" s="34" t="e">
        <f t="shared" si="9"/>
        <v>#N/A</v>
      </c>
      <c r="AC100" s="34" t="str">
        <f t="shared" si="10"/>
        <v xml:space="preserve"> </v>
      </c>
      <c r="AD100" s="34" t="e">
        <f t="shared" ca="1" si="11"/>
        <v>#N/A</v>
      </c>
      <c r="AE100" s="34" t="e">
        <f t="array" aca="1" ref="AE100" ca="1">IF(ISNUMBER(AD100),INDEX(DA_y2data,MATCH(AD100,$AC$2:$AC$102,0)),NA())</f>
        <v>#N/A</v>
      </c>
      <c r="AF100" s="34" t="e">
        <f t="shared" si="12"/>
        <v>#N/A</v>
      </c>
      <c r="AK100" s="46">
        <f>MIN('Manual Fitting'!$A$3:$A$32)+(MAX('Manual Fitting'!$A$3:$A$32)-MIN('Manual Fitting'!$A$3:$A$17))*(Guts!F100/100)</f>
        <v>0</v>
      </c>
      <c r="AL100" s="46">
        <f t="shared" si="13"/>
        <v>0</v>
      </c>
      <c r="AP100" s="46">
        <f t="shared" si="14"/>
        <v>0</v>
      </c>
      <c r="AQ100" s="48">
        <f t="shared" si="15"/>
        <v>0</v>
      </c>
      <c r="AR100" s="48" t="e">
        <f t="shared" ca="1" si="16"/>
        <v>#N/A</v>
      </c>
    </row>
    <row r="101" spans="1:44">
      <c r="A101" s="6"/>
      <c r="B101" s="6"/>
      <c r="C101" s="6"/>
      <c r="D101" s="6"/>
      <c r="E101" s="6"/>
      <c r="F101" s="34">
        <v>99</v>
      </c>
      <c r="G101" s="46">
        <f t="shared" ca="1" si="0"/>
        <v>7920</v>
      </c>
      <c r="H101" s="34" t="e">
        <f t="shared" si="1"/>
        <v>#N/A</v>
      </c>
      <c r="J101" s="34" t="e">
        <f t="shared" ca="1" si="2"/>
        <v>#N/A</v>
      </c>
      <c r="K101" s="34" t="e">
        <f ca="1">IF($D$32=1,$B$48*J101+$C$48,IF($D$32=2,$B$48*J101^2+$C$48*J101+$D$48,IF($D$32=3,$B$48*J101^3+$C$48*J101^2+$D$48*J101+$E$48,IF($D$32=4,$B$48*J101^'Double Analysis'!$G$13,IF($D$32=5,EXP($C$48)*J101^$B$48,IF($D$32=6,EXP($C$48+J101*$B$48),NA()))))))</f>
        <v>#N/A</v>
      </c>
      <c r="L101" s="34" t="e">
        <f ca="1">IF($D$32=1,$B$54*J101+$C$54,IF($D$32=2,$B$54*J101^2+$C$54*J101+$D$54,IF($D$32=3,$B$54*J101^3+$C$54*J101^2+$D$54*J101+$E$54,IF($D$32=4,$B$54*J101^'Double Analysis'!$G$13,IF($D$32=5,EXP($C$54)*J101^$B$54,IF($D$32=6,EXP($C$54+J101*$B$54),NA()))))))</f>
        <v>#N/A</v>
      </c>
      <c r="N101" s="34" t="e">
        <f t="shared" ca="1" si="3"/>
        <v>#N/A</v>
      </c>
      <c r="O101" s="34" t="e">
        <f t="shared" ca="1" si="4"/>
        <v>#N/A</v>
      </c>
      <c r="P101" s="34" t="e">
        <f t="shared" si="5"/>
        <v>#N/A</v>
      </c>
      <c r="R101" s="34" t="str">
        <f t="shared" si="6"/>
        <v/>
      </c>
      <c r="Y101" s="34" t="str">
        <f t="shared" si="7"/>
        <v xml:space="preserve"> </v>
      </c>
      <c r="Z101" s="34" t="e">
        <f t="shared" ca="1" si="8"/>
        <v>#N/A</v>
      </c>
      <c r="AA101" s="34" t="e">
        <f t="array" aca="1" ref="AA101" ca="1">IF(ISNUMBER(Z101),INDEX(DA_y1data,MATCH(Z101,$Y$2:$Y$102,0)),NA())</f>
        <v>#N/A</v>
      </c>
      <c r="AB101" s="34" t="e">
        <f t="shared" si="9"/>
        <v>#N/A</v>
      </c>
      <c r="AC101" s="34" t="str">
        <f t="shared" si="10"/>
        <v xml:space="preserve"> </v>
      </c>
      <c r="AD101" s="34" t="e">
        <f t="shared" ca="1" si="11"/>
        <v>#N/A</v>
      </c>
      <c r="AE101" s="34" t="e">
        <f t="array" aca="1" ref="AE101" ca="1">IF(ISNUMBER(AD101),INDEX(DA_y2data,MATCH(AD101,$AC$2:$AC$102,0)),NA())</f>
        <v>#N/A</v>
      </c>
      <c r="AF101" s="34" t="e">
        <f t="shared" si="12"/>
        <v>#N/A</v>
      </c>
      <c r="AK101" s="46">
        <f>MIN('Manual Fitting'!$A$3:$A$32)+(MAX('Manual Fitting'!$A$3:$A$32)-MIN('Manual Fitting'!$A$3:$A$17))*(Guts!F101/100)</f>
        <v>0</v>
      </c>
      <c r="AL101" s="46">
        <f t="shared" si="13"/>
        <v>0</v>
      </c>
      <c r="AP101" s="46">
        <f t="shared" si="14"/>
        <v>0</v>
      </c>
      <c r="AQ101" s="48">
        <f t="shared" si="15"/>
        <v>0</v>
      </c>
      <c r="AR101" s="48" t="e">
        <f t="shared" ca="1" si="16"/>
        <v>#N/A</v>
      </c>
    </row>
    <row r="102" spans="1:44">
      <c r="A102" s="6"/>
      <c r="B102" s="6"/>
      <c r="C102" s="6"/>
      <c r="D102" s="6"/>
      <c r="E102" s="6"/>
      <c r="F102" s="34">
        <v>100</v>
      </c>
      <c r="G102" s="46">
        <f t="shared" ca="1" si="0"/>
        <v>8000</v>
      </c>
      <c r="H102" s="34" t="e">
        <f t="shared" si="1"/>
        <v>#N/A</v>
      </c>
      <c r="J102" s="34" t="e">
        <f t="shared" ca="1" si="2"/>
        <v>#N/A</v>
      </c>
      <c r="K102" s="34" t="e">
        <f ca="1">IF($D$32=1,$B$48*J102+$C$48,IF($D$32=2,$B$48*J102^2+$C$48*J102+$D$48,IF($D$32=3,$B$48*J102^3+$C$48*J102^2+$D$48*J102+$E$48,IF($D$32=4,$B$48*J102^'Double Analysis'!$G$13,IF($D$32=5,EXP($C$48)*J102^$B$48,IF($D$32=6,EXP($C$48+J102*$B$48),NA()))))))</f>
        <v>#N/A</v>
      </c>
      <c r="L102" s="34" t="e">
        <f ca="1">IF($D$32=1,$B$54*J102+$C$54,IF($D$32=2,$B$54*J102^2+$C$54*J102+$D$54,IF($D$32=3,$B$54*J102^3+$C$54*J102^2+$D$54*J102+$E$54,IF($D$32=4,$B$54*J102^'Double Analysis'!$G$13,IF($D$32=5,EXP($C$54)*J102^$B$54,IF($D$32=6,EXP($C$54+J102*$B$54),NA()))))))</f>
        <v>#N/A</v>
      </c>
      <c r="N102" s="34" t="e">
        <f t="shared" ca="1" si="3"/>
        <v>#N/A</v>
      </c>
      <c r="O102" s="34" t="e">
        <f t="shared" ca="1" si="4"/>
        <v>#N/A</v>
      </c>
      <c r="P102" s="34" t="e">
        <f t="shared" si="5"/>
        <v>#N/A</v>
      </c>
      <c r="R102" s="34" t="str">
        <f t="shared" si="6"/>
        <v/>
      </c>
      <c r="Y102" s="34" t="str">
        <f t="shared" si="7"/>
        <v xml:space="preserve"> </v>
      </c>
      <c r="Z102" s="34" t="e">
        <f t="shared" ca="1" si="8"/>
        <v>#N/A</v>
      </c>
      <c r="AA102" s="34" t="e">
        <f t="array" aca="1" ref="AA102" ca="1">IF(ISNUMBER(Z102),INDEX(DA_y1data,MATCH(Z102,$Y$2:$Y$102,0)),NA())</f>
        <v>#N/A</v>
      </c>
      <c r="AB102" s="34" t="e">
        <f t="shared" si="9"/>
        <v>#N/A</v>
      </c>
      <c r="AC102" s="34" t="str">
        <f t="shared" si="10"/>
        <v xml:space="preserve"> </v>
      </c>
      <c r="AD102" s="34" t="e">
        <f t="shared" ca="1" si="11"/>
        <v>#N/A</v>
      </c>
      <c r="AE102" s="34" t="e">
        <f t="array" aca="1" ref="AE102" ca="1">IF(ISNUMBER(AD102),INDEX(DA_y2data,MATCH(AD102,$AC$2:$AC$102,0)),NA())</f>
        <v>#N/A</v>
      </c>
      <c r="AF102" s="34" t="e">
        <f t="shared" si="12"/>
        <v>#N/A</v>
      </c>
      <c r="AK102" s="46">
        <f>MIN('Manual Fitting'!$A$3:$A$32)+(MAX('Manual Fitting'!$A$3:$A$32)-MIN('Manual Fitting'!$A$3:$A$17))*(Guts!F102/100)</f>
        <v>0</v>
      </c>
      <c r="AL102" s="46">
        <f t="shared" si="13"/>
        <v>0</v>
      </c>
      <c r="AP102" s="46">
        <f t="shared" si="14"/>
        <v>0</v>
      </c>
      <c r="AQ102" s="48">
        <f t="shared" si="15"/>
        <v>0</v>
      </c>
      <c r="AR102" s="48" t="e">
        <f t="shared" ca="1" si="16"/>
        <v>#N/A</v>
      </c>
    </row>
    <row r="103" spans="1:44">
      <c r="A103" s="6"/>
      <c r="B103" s="6"/>
      <c r="C103" s="6"/>
      <c r="D103" s="6"/>
      <c r="E103" s="6"/>
      <c r="N103" s="34" t="str">
        <f ca="1">IFERROR(SMALL($R$2:$R$102, ROW()-1),"")</f>
        <v/>
      </c>
      <c r="AO103" s="34" t="s">
        <v>104</v>
      </c>
      <c r="AP103" s="34" t="s">
        <v>105</v>
      </c>
      <c r="AQ103" s="34" t="s">
        <v>106</v>
      </c>
      <c r="AR103" s="34" t="s">
        <v>107</v>
      </c>
    </row>
    <row r="104" spans="1:44">
      <c r="A104" s="6"/>
      <c r="B104" s="6"/>
      <c r="C104" s="6"/>
      <c r="D104" s="6"/>
      <c r="E104" s="6"/>
      <c r="AO104" s="34" t="e">
        <f t="array" aca="1" ref="AO104" ca="1">SUM(IF(ISNUMBER(AO2:AO102),AO2:AO102,0))/(D65-D68+1)</f>
        <v>#N/A</v>
      </c>
      <c r="AP104" s="34">
        <f t="array" aca="1" ref="AP104" ca="1">SUM(IF(ISNUMBER(AP2:AP102),AP2:AP102,0))</f>
        <v>0</v>
      </c>
      <c r="AQ104" s="48">
        <f t="array" aca="1" ref="AQ104" ca="1">SUM(IF(ISNUMBER(AQ2:AQ102),AQ2:AQ102,0))</f>
        <v>0</v>
      </c>
      <c r="AR104" s="48">
        <f t="array" aca="1" ref="AR104" ca="1">SUM(IF(ISNUMBER(AR2:AR102),AR2:AR102,0))</f>
        <v>0</v>
      </c>
    </row>
    <row r="105" spans="1:44">
      <c r="A105" s="6"/>
      <c r="B105" s="6"/>
      <c r="C105" s="6"/>
      <c r="D105" s="6"/>
      <c r="E105" s="6"/>
    </row>
    <row r="106" spans="1:44">
      <c r="A106" s="6"/>
      <c r="B106" s="6"/>
      <c r="C106" s="6"/>
      <c r="D106" s="6"/>
      <c r="E106" s="6"/>
    </row>
    <row r="107" spans="1:44">
      <c r="A107" s="6"/>
      <c r="B107" s="6"/>
      <c r="C107" s="6"/>
      <c r="D107" s="6"/>
      <c r="E107" s="6"/>
    </row>
    <row r="108" spans="1:44">
      <c r="A108" s="6"/>
      <c r="B108" s="6"/>
      <c r="C108" s="6"/>
      <c r="D108" s="6"/>
      <c r="E108" s="6"/>
    </row>
    <row r="109" spans="1:44">
      <c r="A109" s="6"/>
      <c r="B109" s="6"/>
      <c r="C109" s="6"/>
      <c r="D109" s="6"/>
      <c r="E109" s="6"/>
    </row>
    <row r="110" spans="1:44">
      <c r="A110" s="6"/>
      <c r="B110" s="6"/>
      <c r="C110" s="6"/>
      <c r="D110" s="6"/>
      <c r="E110" s="6"/>
    </row>
    <row r="111" spans="1:44">
      <c r="A111" s="6"/>
      <c r="B111" s="6"/>
      <c r="C111" s="6"/>
      <c r="D111" s="6"/>
      <c r="E111" s="6"/>
    </row>
    <row r="112" spans="1:44">
      <c r="A112" s="6"/>
      <c r="B112" s="6"/>
      <c r="C112" s="6"/>
      <c r="D112" s="6"/>
      <c r="E112" s="6"/>
    </row>
    <row r="113" spans="1:5">
      <c r="A113" s="6"/>
      <c r="B113" s="6"/>
      <c r="C113" s="6"/>
      <c r="D113" s="6"/>
      <c r="E113" s="6"/>
    </row>
    <row r="114" spans="1:5">
      <c r="A114" s="6"/>
      <c r="B114" s="6"/>
      <c r="C114" s="6"/>
      <c r="D114" s="6"/>
      <c r="E114" s="6"/>
    </row>
    <row r="115" spans="1:5">
      <c r="A115" s="6"/>
      <c r="B115" s="6"/>
      <c r="C115" s="6"/>
      <c r="D115" s="6"/>
      <c r="E115" s="6"/>
    </row>
    <row r="116" spans="1:5">
      <c r="A116" s="6"/>
      <c r="B116" s="6"/>
      <c r="C116" s="6"/>
      <c r="D116" s="6"/>
      <c r="E116" s="6"/>
    </row>
    <row r="117" spans="1:5">
      <c r="A117" s="6"/>
      <c r="B117" s="6"/>
      <c r="C117" s="6"/>
      <c r="D117" s="6"/>
      <c r="E117" s="6"/>
    </row>
    <row r="118" spans="1:5">
      <c r="A118" s="6"/>
      <c r="B118" s="6"/>
      <c r="C118" s="6"/>
      <c r="D118" s="6"/>
      <c r="E118" s="6"/>
    </row>
    <row r="119" spans="1:5">
      <c r="A119" s="6"/>
      <c r="B119" s="6"/>
      <c r="C119" s="6"/>
      <c r="D119" s="6"/>
      <c r="E119" s="6"/>
    </row>
    <row r="120" spans="1:5">
      <c r="A120" s="6"/>
      <c r="B120" s="6"/>
      <c r="C120" s="6"/>
      <c r="D120" s="6"/>
      <c r="E120" s="6"/>
    </row>
    <row r="121" spans="1:5">
      <c r="A121" s="6"/>
      <c r="B121" s="6"/>
      <c r="C121" s="6"/>
      <c r="D121" s="6"/>
      <c r="E121" s="6"/>
    </row>
    <row r="122" spans="1:5">
      <c r="A122" s="6"/>
      <c r="B122" s="6"/>
      <c r="C122" s="6"/>
      <c r="D122" s="6"/>
      <c r="E122" s="6"/>
    </row>
    <row r="123" spans="1:5">
      <c r="A123" s="6"/>
      <c r="B123" s="6"/>
      <c r="C123" s="6"/>
      <c r="D123" s="6"/>
      <c r="E123" s="6"/>
    </row>
    <row r="124" spans="1:5">
      <c r="A124" s="6"/>
      <c r="B124" s="6"/>
      <c r="C124" s="6"/>
      <c r="D124" s="6"/>
      <c r="E124" s="6"/>
    </row>
    <row r="125" spans="1:5">
      <c r="A125" s="6"/>
      <c r="B125" s="6"/>
      <c r="C125" s="6"/>
      <c r="D125" s="6"/>
      <c r="E125" s="6"/>
    </row>
    <row r="126" spans="1:5">
      <c r="A126" s="6"/>
      <c r="B126" s="6"/>
      <c r="C126" s="6"/>
      <c r="D126" s="6"/>
      <c r="E126" s="6"/>
    </row>
    <row r="127" spans="1:5">
      <c r="A127" s="6"/>
      <c r="B127" s="6"/>
      <c r="C127" s="6"/>
      <c r="D127" s="6"/>
      <c r="E127" s="6"/>
    </row>
    <row r="128" spans="1:5">
      <c r="A128" s="6"/>
      <c r="B128" s="6"/>
      <c r="C128" s="6"/>
      <c r="D128" s="6"/>
      <c r="E128" s="6"/>
    </row>
    <row r="129" spans="1:5">
      <c r="A129" s="6"/>
      <c r="B129" s="6"/>
      <c r="C129" s="6"/>
      <c r="D129" s="6"/>
      <c r="E129" s="6"/>
    </row>
    <row r="130" spans="1:5">
      <c r="A130" s="6"/>
      <c r="B130" s="6"/>
      <c r="C130" s="6"/>
      <c r="D130" s="6"/>
      <c r="E130" s="6"/>
    </row>
    <row r="131" spans="1:5">
      <c r="A131" s="6"/>
      <c r="B131" s="6"/>
      <c r="C131" s="6"/>
      <c r="D131" s="6"/>
      <c r="E131" s="6"/>
    </row>
    <row r="132" spans="1:5">
      <c r="A132" s="6"/>
      <c r="B132" s="6"/>
      <c r="C132" s="6"/>
      <c r="D132" s="6"/>
      <c r="E132" s="6"/>
    </row>
    <row r="133" spans="1:5">
      <c r="A133" s="6"/>
      <c r="B133" s="6"/>
      <c r="C133" s="6"/>
      <c r="D133" s="6"/>
      <c r="E133" s="6"/>
    </row>
    <row r="134" spans="1:5">
      <c r="A134" s="6"/>
      <c r="B134" s="6"/>
      <c r="C134" s="6"/>
      <c r="D134" s="6"/>
      <c r="E134" s="6"/>
    </row>
    <row r="135" spans="1:5">
      <c r="A135" s="6"/>
      <c r="B135" s="6"/>
      <c r="C135" s="6"/>
      <c r="D135" s="6"/>
      <c r="E135" s="6"/>
    </row>
    <row r="136" spans="1:5">
      <c r="A136" s="6"/>
      <c r="B136" s="6"/>
      <c r="C136" s="6"/>
      <c r="D136" s="6"/>
      <c r="E136" s="6"/>
    </row>
    <row r="137" spans="1:5">
      <c r="A137" s="6"/>
      <c r="B137" s="6"/>
      <c r="C137" s="6"/>
      <c r="D137" s="6"/>
      <c r="E137" s="6"/>
    </row>
    <row r="138" spans="1:5">
      <c r="A138" s="6"/>
      <c r="B138" s="6"/>
      <c r="C138" s="6"/>
      <c r="D138" s="6"/>
      <c r="E138" s="6"/>
    </row>
    <row r="139" spans="1:5">
      <c r="A139" s="6"/>
      <c r="B139" s="6"/>
      <c r="C139" s="6"/>
      <c r="D139" s="6"/>
      <c r="E139" s="6"/>
    </row>
    <row r="140" spans="1:5">
      <c r="A140" s="6"/>
      <c r="B140" s="6"/>
      <c r="C140" s="6"/>
      <c r="D140" s="6"/>
      <c r="E140" s="6"/>
    </row>
    <row r="141" spans="1:5">
      <c r="A141" s="6"/>
      <c r="B141" s="6"/>
      <c r="C141" s="6"/>
      <c r="D141" s="6"/>
      <c r="E141" s="6"/>
    </row>
    <row r="142" spans="1:5">
      <c r="A142" s="6"/>
      <c r="B142" s="6"/>
      <c r="C142" s="6"/>
      <c r="D142" s="6"/>
      <c r="E142" s="6"/>
    </row>
    <row r="143" spans="1:5">
      <c r="A143" s="6"/>
      <c r="B143" s="6"/>
      <c r="C143" s="6"/>
      <c r="D143" s="6"/>
      <c r="E143" s="6"/>
    </row>
    <row r="144" spans="1:5">
      <c r="A144" s="6"/>
      <c r="B144" s="6"/>
      <c r="C144" s="6"/>
      <c r="D144" s="6"/>
      <c r="E144" s="6"/>
    </row>
    <row r="145" spans="1:5">
      <c r="A145" s="6"/>
      <c r="B145" s="6"/>
      <c r="C145" s="6"/>
      <c r="D145" s="6"/>
      <c r="E145" s="6"/>
    </row>
    <row r="146" spans="1:5">
      <c r="A146" s="6"/>
      <c r="B146" s="6"/>
      <c r="C146" s="6"/>
      <c r="D146" s="6"/>
      <c r="E146" s="6"/>
    </row>
    <row r="147" spans="1:5">
      <c r="A147" s="6"/>
      <c r="B147" s="6"/>
      <c r="C147" s="6"/>
      <c r="D147" s="6"/>
      <c r="E147" s="6"/>
    </row>
    <row r="148" spans="1:5">
      <c r="A148" s="6"/>
      <c r="B148" s="6"/>
      <c r="C148" s="6"/>
      <c r="D148" s="6"/>
      <c r="E148" s="6"/>
    </row>
    <row r="149" spans="1:5">
      <c r="A149" s="6"/>
      <c r="B149" s="6"/>
      <c r="C149" s="6"/>
      <c r="D149" s="6"/>
      <c r="E149" s="6"/>
    </row>
    <row r="150" spans="1:5">
      <c r="A150" s="6"/>
      <c r="B150" s="6"/>
      <c r="C150" s="6"/>
      <c r="D150" s="6"/>
      <c r="E150" s="6"/>
    </row>
    <row r="151" spans="1:5">
      <c r="A151" s="6"/>
      <c r="B151" s="6"/>
      <c r="C151" s="6"/>
      <c r="D151" s="6"/>
      <c r="E151" s="6"/>
    </row>
    <row r="152" spans="1:5">
      <c r="A152" s="6"/>
      <c r="B152" s="6"/>
      <c r="C152" s="6"/>
      <c r="D152" s="6"/>
      <c r="E152" s="6"/>
    </row>
    <row r="153" spans="1:5">
      <c r="A153" s="6"/>
      <c r="B153" s="6"/>
      <c r="C153" s="6"/>
      <c r="D153" s="6"/>
      <c r="E153" s="6"/>
    </row>
    <row r="154" spans="1:5">
      <c r="A154" s="6"/>
      <c r="B154" s="6"/>
      <c r="C154" s="6"/>
      <c r="D154" s="6"/>
      <c r="E154" s="6"/>
    </row>
    <row r="155" spans="1:5">
      <c r="A155" s="6"/>
      <c r="B155" s="6"/>
      <c r="C155" s="6"/>
      <c r="D155" s="6"/>
      <c r="E155" s="6"/>
    </row>
    <row r="156" spans="1:5">
      <c r="A156" s="6"/>
      <c r="B156" s="6"/>
      <c r="C156" s="6"/>
      <c r="D156" s="6"/>
      <c r="E156" s="6"/>
    </row>
    <row r="157" spans="1:5">
      <c r="A157" s="6"/>
      <c r="B157" s="6"/>
      <c r="C157" s="6"/>
      <c r="D157" s="6"/>
      <c r="E157" s="6"/>
    </row>
    <row r="158" spans="1:5">
      <c r="A158" s="6"/>
      <c r="B158" s="6"/>
      <c r="C158" s="6"/>
      <c r="D158" s="6"/>
      <c r="E158" s="6"/>
    </row>
    <row r="159" spans="1:5">
      <c r="A159" s="6"/>
      <c r="B159" s="6"/>
      <c r="C159" s="6"/>
      <c r="D159" s="6"/>
      <c r="E159" s="6"/>
    </row>
    <row r="160" spans="1:5">
      <c r="A160" s="6"/>
      <c r="B160" s="6"/>
      <c r="C160" s="6"/>
      <c r="D160" s="6"/>
      <c r="E160" s="6"/>
    </row>
    <row r="161" spans="1:5">
      <c r="A161" s="6"/>
      <c r="B161" s="6"/>
      <c r="C161" s="6"/>
      <c r="D161" s="6"/>
      <c r="E161" s="6"/>
    </row>
    <row r="162" spans="1:5">
      <c r="A162" s="6"/>
      <c r="B162" s="6"/>
      <c r="C162" s="6"/>
      <c r="D162" s="6"/>
      <c r="E162" s="6"/>
    </row>
    <row r="163" spans="1:5">
      <c r="A163" s="6"/>
      <c r="B163" s="6"/>
      <c r="C163" s="6"/>
      <c r="D163" s="6"/>
      <c r="E163" s="6"/>
    </row>
    <row r="164" spans="1:5">
      <c r="A164" s="6"/>
      <c r="B164" s="6"/>
      <c r="C164" s="6"/>
      <c r="D164" s="6"/>
      <c r="E164" s="6"/>
    </row>
    <row r="165" spans="1:5">
      <c r="A165" s="6"/>
      <c r="B165" s="6"/>
      <c r="C165" s="6"/>
      <c r="D165" s="6"/>
      <c r="E165" s="6"/>
    </row>
    <row r="166" spans="1:5">
      <c r="A166" s="6"/>
      <c r="B166" s="6"/>
      <c r="C166" s="6"/>
      <c r="D166" s="6"/>
      <c r="E166" s="6"/>
    </row>
    <row r="167" spans="1:5">
      <c r="A167" s="6"/>
      <c r="B167" s="6"/>
      <c r="C167" s="6"/>
      <c r="D167" s="6"/>
      <c r="E167" s="6"/>
    </row>
    <row r="168" spans="1:5">
      <c r="A168" s="6"/>
      <c r="B168" s="6"/>
      <c r="C168" s="6"/>
      <c r="D168" s="6"/>
      <c r="E168" s="6"/>
    </row>
    <row r="169" spans="1:5">
      <c r="A169" s="6"/>
      <c r="B169" s="6"/>
      <c r="C169" s="6"/>
      <c r="D169" s="6"/>
      <c r="E169" s="6"/>
    </row>
    <row r="170" spans="1:5">
      <c r="A170" s="6"/>
      <c r="B170" s="6"/>
      <c r="C170" s="6"/>
      <c r="D170" s="6"/>
      <c r="E170" s="6"/>
    </row>
    <row r="171" spans="1:5">
      <c r="A171" s="6"/>
      <c r="B171" s="6"/>
      <c r="C171" s="6"/>
      <c r="D171" s="6"/>
      <c r="E171" s="6"/>
    </row>
    <row r="172" spans="1:5">
      <c r="A172" s="6"/>
      <c r="B172" s="6"/>
      <c r="C172" s="6"/>
      <c r="D172" s="6"/>
      <c r="E172" s="6"/>
    </row>
    <row r="173" spans="1:5">
      <c r="A173" s="6"/>
      <c r="B173" s="6"/>
      <c r="C173" s="6"/>
      <c r="D173" s="6"/>
      <c r="E173" s="6"/>
    </row>
    <row r="174" spans="1:5">
      <c r="A174" s="6"/>
      <c r="B174" s="6"/>
      <c r="C174" s="6"/>
      <c r="D174" s="6"/>
      <c r="E174" s="6"/>
    </row>
    <row r="175" spans="1:5">
      <c r="A175" s="6"/>
      <c r="B175" s="6"/>
      <c r="C175" s="6"/>
      <c r="D175" s="6"/>
      <c r="E175" s="6"/>
    </row>
    <row r="176" spans="1:5">
      <c r="A176" s="6"/>
      <c r="B176" s="6"/>
      <c r="C176" s="6"/>
      <c r="D176" s="6"/>
      <c r="E176" s="6"/>
    </row>
    <row r="177" spans="1:5">
      <c r="A177" s="6"/>
      <c r="B177" s="6"/>
      <c r="C177" s="6"/>
      <c r="D177" s="6"/>
      <c r="E177" s="6"/>
    </row>
    <row r="178" spans="1:5">
      <c r="A178" s="6"/>
      <c r="B178" s="6"/>
      <c r="C178" s="6"/>
      <c r="D178" s="6"/>
      <c r="E178" s="6"/>
    </row>
    <row r="179" spans="1:5">
      <c r="A179" s="6"/>
      <c r="B179" s="6"/>
      <c r="C179" s="6"/>
      <c r="D179" s="6"/>
      <c r="E179" s="6"/>
    </row>
    <row r="180" spans="1:5">
      <c r="A180" s="6"/>
      <c r="B180" s="6"/>
      <c r="C180" s="6"/>
      <c r="D180" s="6"/>
      <c r="E180" s="6"/>
    </row>
    <row r="181" spans="1:5">
      <c r="A181" s="6"/>
      <c r="B181" s="6"/>
      <c r="C181" s="6"/>
      <c r="D181" s="6"/>
      <c r="E181" s="6"/>
    </row>
    <row r="182" spans="1:5">
      <c r="A182" s="6"/>
      <c r="B182" s="6"/>
      <c r="C182" s="6"/>
      <c r="D182" s="6"/>
      <c r="E182" s="6"/>
    </row>
    <row r="183" spans="1:5">
      <c r="A183" s="6"/>
      <c r="B183" s="6"/>
      <c r="C183" s="6"/>
      <c r="D183" s="6"/>
      <c r="E183" s="6"/>
    </row>
    <row r="184" spans="1:5">
      <c r="A184" s="6"/>
      <c r="B184" s="6"/>
      <c r="C184" s="6"/>
      <c r="D184" s="6"/>
      <c r="E184" s="6"/>
    </row>
    <row r="185" spans="1:5">
      <c r="A185" s="6"/>
      <c r="B185" s="6"/>
      <c r="C185" s="6"/>
      <c r="D185" s="6"/>
      <c r="E185" s="6"/>
    </row>
    <row r="186" spans="1:5">
      <c r="A186" s="6"/>
      <c r="B186" s="6"/>
      <c r="C186" s="6"/>
      <c r="D186" s="6"/>
      <c r="E186" s="6"/>
    </row>
    <row r="187" spans="1:5">
      <c r="A187" s="6"/>
      <c r="B187" s="6"/>
      <c r="C187" s="6"/>
      <c r="D187" s="6"/>
      <c r="E187" s="6"/>
    </row>
    <row r="188" spans="1:5">
      <c r="A188" s="6"/>
      <c r="B188" s="6"/>
      <c r="C188" s="6"/>
      <c r="D188" s="6"/>
      <c r="E188" s="6"/>
    </row>
    <row r="189" spans="1:5">
      <c r="A189" s="6"/>
      <c r="B189" s="6"/>
      <c r="C189" s="6"/>
      <c r="D189" s="6"/>
      <c r="E189" s="6"/>
    </row>
    <row r="190" spans="1:5">
      <c r="A190" s="6"/>
      <c r="B190" s="6"/>
      <c r="C190" s="6"/>
      <c r="D190" s="6"/>
      <c r="E190" s="6"/>
    </row>
    <row r="191" spans="1:5">
      <c r="A191" s="6"/>
      <c r="B191" s="6"/>
      <c r="C191" s="6"/>
      <c r="D191" s="6"/>
      <c r="E191" s="6"/>
    </row>
    <row r="192" spans="1:5">
      <c r="A192" s="6"/>
      <c r="B192" s="6"/>
      <c r="C192" s="6"/>
      <c r="D192" s="6"/>
      <c r="E192" s="6"/>
    </row>
    <row r="193" spans="1:5">
      <c r="A193" s="6"/>
      <c r="B193" s="6"/>
      <c r="C193" s="6"/>
      <c r="D193" s="6"/>
      <c r="E193" s="6"/>
    </row>
    <row r="194" spans="1:5">
      <c r="A194" s="6"/>
      <c r="B194" s="6"/>
      <c r="C194" s="6"/>
      <c r="D194" s="6"/>
      <c r="E194" s="6"/>
    </row>
    <row r="195" spans="1:5">
      <c r="A195" s="6"/>
      <c r="B195" s="6"/>
      <c r="C195" s="6"/>
      <c r="D195" s="6"/>
      <c r="E195" s="6"/>
    </row>
    <row r="196" spans="1:5">
      <c r="A196" s="6"/>
      <c r="B196" s="6"/>
      <c r="C196" s="6"/>
      <c r="D196" s="6"/>
      <c r="E196" s="6"/>
    </row>
    <row r="197" spans="1:5">
      <c r="A197" s="6"/>
      <c r="B197" s="6"/>
      <c r="C197" s="6"/>
      <c r="D197" s="6"/>
      <c r="E197" s="6"/>
    </row>
    <row r="198" spans="1:5">
      <c r="A198" s="6"/>
      <c r="B198" s="6"/>
      <c r="C198" s="6"/>
      <c r="D198" s="6"/>
      <c r="E198" s="6"/>
    </row>
    <row r="199" spans="1:5">
      <c r="A199" s="6"/>
      <c r="B199" s="6"/>
      <c r="C199" s="6"/>
      <c r="D199" s="6"/>
      <c r="E199" s="6"/>
    </row>
    <row r="200" spans="1:5">
      <c r="A200" s="6"/>
      <c r="B200" s="6"/>
      <c r="C200" s="6"/>
      <c r="D200" s="6"/>
      <c r="E200" s="6"/>
    </row>
    <row r="201" spans="1:5">
      <c r="A201" s="6"/>
      <c r="B201" s="6"/>
      <c r="C201" s="6"/>
      <c r="D201" s="6"/>
      <c r="E201" s="6"/>
    </row>
    <row r="202" spans="1:5">
      <c r="A202" s="6"/>
      <c r="B202" s="6"/>
      <c r="C202" s="6"/>
      <c r="D202" s="6"/>
      <c r="E202" s="6"/>
    </row>
    <row r="203" spans="1:5">
      <c r="A203" s="6"/>
      <c r="B203" s="6"/>
      <c r="C203" s="6"/>
      <c r="D203" s="6"/>
      <c r="E203" s="6"/>
    </row>
    <row r="204" spans="1:5">
      <c r="A204" s="6"/>
      <c r="B204" s="6"/>
      <c r="C204" s="6"/>
      <c r="D204" s="6"/>
      <c r="E204" s="6"/>
    </row>
    <row r="205" spans="1:5">
      <c r="A205" s="6"/>
      <c r="B205" s="6"/>
      <c r="C205" s="6"/>
      <c r="D205" s="6"/>
      <c r="E205" s="6"/>
    </row>
    <row r="206" spans="1:5">
      <c r="A206" s="6"/>
      <c r="B206" s="6"/>
      <c r="C206" s="6"/>
      <c r="D206" s="6"/>
      <c r="E206" s="6"/>
    </row>
    <row r="207" spans="1:5">
      <c r="A207" s="6"/>
      <c r="B207" s="6"/>
      <c r="C207" s="6"/>
      <c r="D207" s="6"/>
      <c r="E207" s="6"/>
    </row>
    <row r="208" spans="1:5">
      <c r="A208" s="6"/>
      <c r="B208" s="6"/>
      <c r="C208" s="6"/>
      <c r="D208" s="6"/>
      <c r="E208" s="6"/>
    </row>
    <row r="209" spans="1:5">
      <c r="A209" s="6"/>
      <c r="B209" s="6"/>
      <c r="C209" s="6"/>
      <c r="D209" s="6"/>
      <c r="E209" s="6"/>
    </row>
    <row r="210" spans="1:5">
      <c r="A210" s="6"/>
      <c r="B210" s="6"/>
      <c r="C210" s="6"/>
      <c r="D210" s="6"/>
      <c r="E210" s="6"/>
    </row>
    <row r="211" spans="1:5">
      <c r="A211" s="6"/>
      <c r="B211" s="6"/>
      <c r="C211" s="6"/>
      <c r="D211" s="6"/>
      <c r="E211" s="6"/>
    </row>
    <row r="212" spans="1:5">
      <c r="A212" s="6"/>
      <c r="B212" s="6"/>
      <c r="C212" s="6"/>
      <c r="D212" s="6"/>
      <c r="E212" s="6"/>
    </row>
    <row r="213" spans="1:5">
      <c r="A213" s="6"/>
      <c r="B213" s="6"/>
      <c r="C213" s="6"/>
      <c r="D213" s="6"/>
      <c r="E213" s="6"/>
    </row>
    <row r="214" spans="1:5">
      <c r="A214" s="6"/>
      <c r="B214" s="6"/>
      <c r="C214" s="6"/>
      <c r="D214" s="6"/>
      <c r="E214" s="6"/>
    </row>
    <row r="215" spans="1:5">
      <c r="A215" s="6"/>
      <c r="B215" s="6"/>
      <c r="C215" s="6"/>
      <c r="D215" s="6"/>
      <c r="E215" s="6"/>
    </row>
    <row r="216" spans="1:5">
      <c r="A216" s="6"/>
      <c r="B216" s="6"/>
      <c r="C216" s="6"/>
      <c r="D216" s="6"/>
      <c r="E216" s="6"/>
    </row>
    <row r="217" spans="1:5">
      <c r="A217" s="6"/>
      <c r="B217" s="6"/>
      <c r="C217" s="6"/>
      <c r="D217" s="6"/>
      <c r="E217" s="6"/>
    </row>
    <row r="218" spans="1:5">
      <c r="A218" s="6"/>
      <c r="B218" s="6"/>
      <c r="C218" s="6"/>
      <c r="D218" s="6"/>
      <c r="E218" s="6"/>
    </row>
    <row r="219" spans="1:5">
      <c r="A219" s="6"/>
      <c r="B219" s="6"/>
      <c r="C219" s="6"/>
      <c r="D219" s="6"/>
      <c r="E219" s="6"/>
    </row>
    <row r="220" spans="1:5">
      <c r="A220" s="6"/>
      <c r="B220" s="6"/>
      <c r="C220" s="6"/>
      <c r="D220" s="6"/>
      <c r="E220" s="6"/>
    </row>
    <row r="221" spans="1:5">
      <c r="A221" s="6"/>
      <c r="B221" s="6"/>
      <c r="C221" s="6"/>
      <c r="D221" s="6"/>
      <c r="E221" s="6"/>
    </row>
    <row r="222" spans="1:5">
      <c r="A222" s="6"/>
      <c r="B222" s="6"/>
      <c r="C222" s="6"/>
      <c r="D222" s="6"/>
      <c r="E222" s="6"/>
    </row>
    <row r="223" spans="1:5">
      <c r="A223" s="6"/>
      <c r="B223" s="6"/>
      <c r="C223" s="6"/>
      <c r="D223" s="6"/>
      <c r="E223" s="6"/>
    </row>
    <row r="224" spans="1:5">
      <c r="A224" s="6"/>
      <c r="B224" s="6"/>
      <c r="C224" s="6"/>
      <c r="D224" s="6"/>
      <c r="E224" s="6"/>
    </row>
    <row r="225" spans="1:5">
      <c r="A225" s="6"/>
      <c r="B225" s="6"/>
      <c r="C225" s="6"/>
      <c r="D225" s="6"/>
      <c r="E225" s="6"/>
    </row>
    <row r="226" spans="1:5">
      <c r="A226" s="6"/>
      <c r="B226" s="6"/>
      <c r="C226" s="6"/>
      <c r="D226" s="6"/>
      <c r="E226" s="6"/>
    </row>
    <row r="227" spans="1:5">
      <c r="A227" s="6"/>
      <c r="B227" s="6"/>
      <c r="C227" s="6"/>
      <c r="D227" s="6"/>
      <c r="E227" s="6"/>
    </row>
    <row r="228" spans="1:5">
      <c r="A228" s="6"/>
      <c r="B228" s="6"/>
      <c r="C228" s="6"/>
      <c r="D228" s="6"/>
      <c r="E228" s="6"/>
    </row>
    <row r="229" spans="1:5">
      <c r="A229" s="6"/>
      <c r="B229" s="6"/>
      <c r="C229" s="6"/>
      <c r="D229" s="6"/>
      <c r="E229" s="6"/>
    </row>
    <row r="230" spans="1:5">
      <c r="A230" s="6"/>
      <c r="B230" s="6"/>
      <c r="C230" s="6"/>
      <c r="D230" s="6"/>
      <c r="E230" s="6"/>
    </row>
    <row r="231" spans="1:5">
      <c r="A231" s="6"/>
      <c r="B231" s="6"/>
      <c r="C231" s="6"/>
      <c r="D231" s="6"/>
      <c r="E231" s="6"/>
    </row>
    <row r="232" spans="1:5">
      <c r="A232" s="6"/>
      <c r="B232" s="6"/>
      <c r="C232" s="6"/>
      <c r="D232" s="6"/>
      <c r="E232" s="6"/>
    </row>
    <row r="233" spans="1:5">
      <c r="A233" s="6"/>
      <c r="B233" s="6"/>
      <c r="C233" s="6"/>
      <c r="D233" s="6"/>
      <c r="E233" s="6"/>
    </row>
    <row r="234" spans="1:5">
      <c r="A234" s="6"/>
      <c r="B234" s="6"/>
      <c r="C234" s="6"/>
      <c r="D234" s="6"/>
      <c r="E234" s="6"/>
    </row>
    <row r="235" spans="1:5">
      <c r="A235" s="6"/>
      <c r="B235" s="6"/>
      <c r="C235" s="6"/>
      <c r="D235" s="6"/>
      <c r="E235" s="6"/>
    </row>
    <row r="236" spans="1:5">
      <c r="A236" s="6"/>
      <c r="B236" s="6"/>
      <c r="C236" s="6"/>
      <c r="D236" s="6"/>
      <c r="E236" s="6"/>
    </row>
    <row r="237" spans="1:5">
      <c r="A237" s="6"/>
      <c r="B237" s="6"/>
      <c r="C237" s="6"/>
      <c r="D237" s="6"/>
      <c r="E237" s="6"/>
    </row>
    <row r="238" spans="1:5">
      <c r="A238" s="6"/>
      <c r="B238" s="6"/>
      <c r="C238" s="6"/>
      <c r="D238" s="6"/>
      <c r="E238" s="6"/>
    </row>
    <row r="239" spans="1:5">
      <c r="A239" s="6"/>
      <c r="B239" s="6"/>
      <c r="C239" s="6"/>
      <c r="D239" s="6"/>
      <c r="E239" s="6"/>
    </row>
    <row r="240" spans="1:5">
      <c r="A240" s="6"/>
      <c r="B240" s="6"/>
      <c r="C240" s="6"/>
      <c r="D240" s="6"/>
      <c r="E240" s="6"/>
    </row>
    <row r="241" spans="1:5">
      <c r="A241" s="6"/>
      <c r="B241" s="6"/>
      <c r="C241" s="6"/>
      <c r="D241" s="6"/>
      <c r="E241" s="6"/>
    </row>
    <row r="242" spans="1:5">
      <c r="A242" s="6"/>
      <c r="B242" s="6"/>
      <c r="C242" s="6"/>
      <c r="D242" s="6"/>
      <c r="E242" s="6"/>
    </row>
    <row r="243" spans="1:5">
      <c r="A243" s="6"/>
      <c r="B243" s="6"/>
      <c r="C243" s="6"/>
      <c r="D243" s="6"/>
      <c r="E243" s="6"/>
    </row>
    <row r="244" spans="1:5">
      <c r="A244" s="6"/>
      <c r="B244" s="6"/>
      <c r="C244" s="6"/>
      <c r="D244" s="6"/>
      <c r="E244" s="6"/>
    </row>
    <row r="245" spans="1:5">
      <c r="A245" s="6"/>
      <c r="B245" s="6"/>
      <c r="C245" s="6"/>
      <c r="D245" s="6"/>
      <c r="E245" s="6"/>
    </row>
    <row r="246" spans="1:5">
      <c r="A246" s="6"/>
      <c r="B246" s="6"/>
      <c r="C246" s="6"/>
      <c r="D246" s="6"/>
      <c r="E246" s="6"/>
    </row>
    <row r="247" spans="1:5">
      <c r="A247" s="6"/>
      <c r="B247" s="6"/>
      <c r="C247" s="6"/>
      <c r="D247" s="6"/>
      <c r="E247" s="6"/>
    </row>
    <row r="248" spans="1:5">
      <c r="A248" s="6"/>
      <c r="B248" s="6"/>
      <c r="C248" s="6"/>
      <c r="D248" s="6"/>
      <c r="E248" s="6"/>
    </row>
    <row r="249" spans="1:5">
      <c r="A249" s="6"/>
      <c r="B249" s="6"/>
      <c r="C249" s="6"/>
      <c r="D249" s="6"/>
      <c r="E249" s="6"/>
    </row>
    <row r="250" spans="1:5">
      <c r="A250" s="6"/>
      <c r="B250" s="6"/>
      <c r="C250" s="6"/>
      <c r="D250" s="6"/>
      <c r="E250" s="6"/>
    </row>
    <row r="251" spans="1:5">
      <c r="A251" s="6"/>
      <c r="B251" s="6"/>
      <c r="C251" s="6"/>
      <c r="D251" s="6"/>
      <c r="E251" s="6"/>
    </row>
    <row r="252" spans="1:5">
      <c r="A252" s="6"/>
      <c r="B252" s="6"/>
      <c r="C252" s="6"/>
      <c r="D252" s="6"/>
      <c r="E252" s="6"/>
    </row>
    <row r="253" spans="1:5">
      <c r="A253" s="6"/>
      <c r="B253" s="6"/>
      <c r="C253" s="6"/>
      <c r="D253" s="6"/>
      <c r="E253" s="6"/>
    </row>
    <row r="254" spans="1:5">
      <c r="A254" s="6"/>
      <c r="B254" s="6"/>
      <c r="C254" s="6"/>
      <c r="D254" s="6"/>
      <c r="E254" s="6"/>
    </row>
    <row r="255" spans="1:5">
      <c r="A255" s="6"/>
      <c r="B255" s="6"/>
      <c r="C255" s="6"/>
      <c r="D255" s="6"/>
      <c r="E255" s="6"/>
    </row>
    <row r="256" spans="1:5">
      <c r="A256" s="6"/>
      <c r="B256" s="6"/>
      <c r="C256" s="6"/>
      <c r="D256" s="6"/>
      <c r="E256" s="6"/>
    </row>
    <row r="257" spans="1:5">
      <c r="A257" s="6"/>
      <c r="B257" s="6"/>
      <c r="C257" s="6"/>
      <c r="D257" s="6"/>
      <c r="E257" s="6"/>
    </row>
    <row r="258" spans="1:5">
      <c r="A258" s="6"/>
      <c r="B258" s="6"/>
      <c r="C258" s="6"/>
      <c r="D258" s="6"/>
      <c r="E258" s="6"/>
    </row>
    <row r="259" spans="1:5">
      <c r="A259" s="6"/>
      <c r="B259" s="6"/>
      <c r="C259" s="6"/>
      <c r="D259" s="6"/>
      <c r="E259" s="6"/>
    </row>
    <row r="260" spans="1:5">
      <c r="A260" s="6"/>
      <c r="B260" s="6"/>
      <c r="C260" s="6"/>
      <c r="D260" s="6"/>
      <c r="E260" s="6"/>
    </row>
    <row r="261" spans="1:5">
      <c r="A261" s="6"/>
      <c r="B261" s="6"/>
      <c r="C261" s="6"/>
      <c r="D261" s="6"/>
      <c r="E261" s="6"/>
    </row>
    <row r="262" spans="1:5">
      <c r="A262" s="6"/>
      <c r="B262" s="6"/>
      <c r="C262" s="6"/>
      <c r="D262" s="6"/>
      <c r="E262" s="6"/>
    </row>
    <row r="263" spans="1:5">
      <c r="A263" s="6"/>
      <c r="B263" s="6"/>
      <c r="C263" s="6"/>
      <c r="D263" s="6"/>
      <c r="E263" s="6"/>
    </row>
    <row r="264" spans="1:5">
      <c r="A264" s="6"/>
      <c r="B264" s="6"/>
      <c r="C264" s="6"/>
      <c r="D264" s="6"/>
      <c r="E264" s="6"/>
    </row>
    <row r="265" spans="1:5">
      <c r="A265" s="6"/>
      <c r="B265" s="6"/>
      <c r="C265" s="6"/>
      <c r="D265" s="6"/>
      <c r="E265" s="6"/>
    </row>
    <row r="266" spans="1:5">
      <c r="A266" s="6"/>
      <c r="B266" s="6"/>
      <c r="C266" s="6"/>
      <c r="D266" s="6"/>
      <c r="E266" s="6"/>
    </row>
    <row r="267" spans="1:5">
      <c r="A267" s="6"/>
      <c r="B267" s="6"/>
      <c r="C267" s="6"/>
      <c r="D267" s="6"/>
      <c r="E267" s="6"/>
    </row>
    <row r="268" spans="1:5">
      <c r="A268" s="6"/>
      <c r="B268" s="6"/>
      <c r="C268" s="6"/>
      <c r="D268" s="6"/>
      <c r="E268" s="6"/>
    </row>
    <row r="269" spans="1:5">
      <c r="A269" s="6"/>
      <c r="B269" s="6"/>
      <c r="C269" s="6"/>
      <c r="D269" s="6"/>
      <c r="E269" s="6"/>
    </row>
    <row r="270" spans="1:5">
      <c r="A270" s="6"/>
      <c r="B270" s="6"/>
      <c r="C270" s="6"/>
      <c r="D270" s="6"/>
      <c r="E270" s="6"/>
    </row>
    <row r="271" spans="1:5">
      <c r="A271" s="6"/>
      <c r="B271" s="6"/>
      <c r="C271" s="6"/>
      <c r="D271" s="6"/>
      <c r="E271" s="6"/>
    </row>
    <row r="272" spans="1:5">
      <c r="A272" s="6"/>
      <c r="B272" s="6"/>
      <c r="C272" s="6"/>
      <c r="D272" s="6"/>
      <c r="E272" s="6"/>
    </row>
    <row r="273" spans="1:5">
      <c r="A273" s="6"/>
      <c r="B273" s="6"/>
      <c r="C273" s="6"/>
      <c r="D273" s="6"/>
      <c r="E273" s="6"/>
    </row>
    <row r="274" spans="1:5">
      <c r="A274" s="6"/>
      <c r="B274" s="6"/>
      <c r="C274" s="6"/>
      <c r="D274" s="6"/>
      <c r="E274" s="6"/>
    </row>
    <row r="275" spans="1:5">
      <c r="A275" s="6"/>
      <c r="B275" s="6"/>
      <c r="C275" s="6"/>
      <c r="D275" s="6"/>
      <c r="E275" s="6"/>
    </row>
    <row r="276" spans="1:5">
      <c r="A276" s="6"/>
      <c r="B276" s="6"/>
      <c r="C276" s="6"/>
      <c r="D276" s="6"/>
      <c r="E276" s="6"/>
    </row>
    <row r="277" spans="1:5">
      <c r="A277" s="6"/>
      <c r="B277" s="6"/>
      <c r="C277" s="6"/>
      <c r="D277" s="6"/>
      <c r="E277" s="6"/>
    </row>
    <row r="278" spans="1:5">
      <c r="A278" s="6"/>
      <c r="B278" s="6"/>
      <c r="C278" s="6"/>
      <c r="D278" s="6"/>
      <c r="E278" s="6"/>
    </row>
    <row r="279" spans="1:5">
      <c r="A279" s="6"/>
      <c r="B279" s="6"/>
      <c r="C279" s="6"/>
      <c r="D279" s="6"/>
      <c r="E279" s="6"/>
    </row>
    <row r="280" spans="1:5">
      <c r="A280" s="6"/>
      <c r="B280" s="6"/>
      <c r="C280" s="6"/>
      <c r="D280" s="6"/>
      <c r="E280" s="6"/>
    </row>
    <row r="281" spans="1:5">
      <c r="A281" s="6"/>
      <c r="B281" s="6"/>
      <c r="C281" s="6"/>
      <c r="D281" s="6"/>
      <c r="E281" s="6"/>
    </row>
    <row r="282" spans="1:5">
      <c r="A282" s="6"/>
      <c r="B282" s="6"/>
      <c r="C282" s="6"/>
      <c r="D282" s="6"/>
      <c r="E282" s="6"/>
    </row>
    <row r="283" spans="1:5">
      <c r="A283" s="6"/>
      <c r="B283" s="6"/>
      <c r="C283" s="6"/>
      <c r="D283" s="6"/>
      <c r="E283" s="6"/>
    </row>
    <row r="284" spans="1:5">
      <c r="A284" s="6"/>
      <c r="B284" s="6"/>
      <c r="C284" s="6"/>
      <c r="D284" s="6"/>
      <c r="E284" s="6"/>
    </row>
    <row r="285" spans="1:5">
      <c r="A285" s="6"/>
      <c r="B285" s="6"/>
      <c r="C285" s="6"/>
      <c r="D285" s="6"/>
      <c r="E285" s="6"/>
    </row>
    <row r="286" spans="1:5">
      <c r="A286" s="6"/>
      <c r="B286" s="6"/>
      <c r="C286" s="6"/>
      <c r="D286" s="6"/>
      <c r="E286" s="6"/>
    </row>
    <row r="287" spans="1:5">
      <c r="A287" s="6"/>
      <c r="B287" s="6"/>
      <c r="C287" s="6"/>
      <c r="D287" s="6"/>
      <c r="E287" s="6"/>
    </row>
    <row r="288" spans="1:5">
      <c r="A288" s="6"/>
      <c r="B288" s="6"/>
      <c r="C288" s="6"/>
      <c r="D288" s="6"/>
      <c r="E288" s="6"/>
    </row>
    <row r="289" spans="1:5">
      <c r="A289" s="6"/>
      <c r="B289" s="6"/>
      <c r="C289" s="6"/>
      <c r="D289" s="6"/>
      <c r="E289" s="6"/>
    </row>
    <row r="290" spans="1:5">
      <c r="A290" s="6"/>
      <c r="B290" s="6"/>
      <c r="C290" s="6"/>
      <c r="D290" s="6"/>
      <c r="E290" s="6"/>
    </row>
    <row r="291" spans="1:5">
      <c r="A291" s="6"/>
      <c r="B291" s="6"/>
      <c r="C291" s="6"/>
      <c r="D291" s="6"/>
      <c r="E291" s="6"/>
    </row>
    <row r="292" spans="1:5">
      <c r="A292" s="6"/>
      <c r="B292" s="6"/>
      <c r="C292" s="6"/>
      <c r="D292" s="6"/>
      <c r="E292" s="6"/>
    </row>
    <row r="293" spans="1:5">
      <c r="A293" s="6"/>
      <c r="B293" s="6"/>
      <c r="C293" s="6"/>
      <c r="D293" s="6"/>
      <c r="E293" s="6"/>
    </row>
    <row r="294" spans="1:5">
      <c r="A294" s="6"/>
      <c r="B294" s="6"/>
      <c r="C294" s="6"/>
      <c r="D294" s="6"/>
      <c r="E294" s="6"/>
    </row>
    <row r="295" spans="1:5">
      <c r="A295" s="6"/>
      <c r="B295" s="6"/>
      <c r="C295" s="6"/>
      <c r="D295" s="6"/>
      <c r="E295" s="6"/>
    </row>
    <row r="296" spans="1:5">
      <c r="A296" s="6"/>
      <c r="B296" s="6"/>
      <c r="C296" s="6"/>
      <c r="D296" s="6"/>
      <c r="E296" s="6"/>
    </row>
    <row r="297" spans="1:5">
      <c r="A297" s="6"/>
      <c r="B297" s="6"/>
      <c r="C297" s="6"/>
      <c r="D297" s="6"/>
      <c r="E297" s="6"/>
    </row>
    <row r="298" spans="1:5">
      <c r="A298" s="6"/>
      <c r="B298" s="6"/>
      <c r="C298" s="6"/>
      <c r="D298" s="6"/>
      <c r="E298" s="6"/>
    </row>
    <row r="299" spans="1:5">
      <c r="A299" s="6"/>
      <c r="B299" s="6"/>
      <c r="C299" s="6"/>
      <c r="D299" s="6"/>
      <c r="E299" s="6"/>
    </row>
    <row r="300" spans="1:5">
      <c r="A300" s="6"/>
      <c r="B300" s="6"/>
      <c r="C300" s="6"/>
      <c r="D300" s="6"/>
      <c r="E300" s="6"/>
    </row>
    <row r="301" spans="1:5">
      <c r="A301" s="6"/>
      <c r="B301" s="6"/>
      <c r="C301" s="6"/>
      <c r="D301" s="6"/>
      <c r="E301" s="6"/>
    </row>
    <row r="302" spans="1:5">
      <c r="A302" s="6"/>
      <c r="B302" s="6"/>
      <c r="C302" s="6"/>
      <c r="D302" s="6"/>
      <c r="E302" s="6"/>
    </row>
    <row r="303" spans="1:5">
      <c r="A303" s="6"/>
      <c r="B303" s="6"/>
      <c r="C303" s="6"/>
      <c r="D303" s="6"/>
      <c r="E303" s="6"/>
    </row>
    <row r="304" spans="1:5">
      <c r="A304" s="6"/>
      <c r="B304" s="6"/>
      <c r="C304" s="6"/>
      <c r="D304" s="6"/>
      <c r="E304" s="6"/>
    </row>
    <row r="305" spans="1:5">
      <c r="A305" s="6"/>
      <c r="B305" s="6"/>
      <c r="C305" s="6"/>
      <c r="D305" s="6"/>
      <c r="E305" s="6"/>
    </row>
    <row r="306" spans="1:5">
      <c r="A306" s="6"/>
      <c r="B306" s="6"/>
      <c r="C306" s="6"/>
      <c r="D306" s="6"/>
      <c r="E306" s="6"/>
    </row>
    <row r="307" spans="1:5">
      <c r="A307" s="6"/>
      <c r="B307" s="6"/>
      <c r="C307" s="6"/>
      <c r="D307" s="6"/>
      <c r="E307" s="6"/>
    </row>
    <row r="308" spans="1:5">
      <c r="A308" s="6"/>
      <c r="B308" s="6"/>
      <c r="C308" s="6"/>
      <c r="D308" s="6"/>
      <c r="E308" s="6"/>
    </row>
    <row r="309" spans="1:5">
      <c r="A309" s="6"/>
      <c r="B309" s="6"/>
      <c r="C309" s="6"/>
      <c r="D309" s="6"/>
      <c r="E309" s="6"/>
    </row>
    <row r="310" spans="1:5">
      <c r="A310" s="6"/>
      <c r="B310" s="6"/>
      <c r="C310" s="6"/>
      <c r="D310" s="6"/>
      <c r="E310" s="6"/>
    </row>
    <row r="311" spans="1:5">
      <c r="A311" s="6"/>
      <c r="B311" s="6"/>
      <c r="C311" s="6"/>
      <c r="D311" s="6"/>
      <c r="E311" s="6"/>
    </row>
    <row r="312" spans="1:5">
      <c r="A312" s="6"/>
      <c r="B312" s="6"/>
      <c r="C312" s="6"/>
      <c r="D312" s="6"/>
      <c r="E312" s="6"/>
    </row>
    <row r="313" spans="1:5">
      <c r="A313" s="6"/>
      <c r="B313" s="6"/>
      <c r="C313" s="6"/>
      <c r="D313" s="6"/>
      <c r="E313" s="6"/>
    </row>
    <row r="314" spans="1:5">
      <c r="A314" s="6"/>
      <c r="B314" s="6"/>
      <c r="C314" s="6"/>
      <c r="D314" s="6"/>
      <c r="E314" s="6"/>
    </row>
    <row r="315" spans="1:5">
      <c r="A315" s="6"/>
      <c r="B315" s="6"/>
      <c r="C315" s="6"/>
      <c r="D315" s="6"/>
      <c r="E315" s="6"/>
    </row>
    <row r="316" spans="1:5">
      <c r="A316" s="6"/>
      <c r="B316" s="6"/>
      <c r="C316" s="6"/>
      <c r="D316" s="6"/>
      <c r="E316" s="6"/>
    </row>
    <row r="317" spans="1:5">
      <c r="A317" s="6"/>
      <c r="B317" s="6"/>
      <c r="C317" s="6"/>
      <c r="D317" s="6"/>
      <c r="E317" s="6"/>
    </row>
    <row r="318" spans="1:5">
      <c r="A318" s="6"/>
      <c r="B318" s="6"/>
      <c r="C318" s="6"/>
      <c r="D318" s="6"/>
      <c r="E318" s="6"/>
    </row>
    <row r="319" spans="1:5">
      <c r="A319" s="6"/>
      <c r="B319" s="6"/>
      <c r="C319" s="6"/>
      <c r="D319" s="6"/>
      <c r="E319" s="6"/>
    </row>
    <row r="320" spans="1:5">
      <c r="A320" s="6"/>
      <c r="B320" s="6"/>
      <c r="C320" s="6"/>
      <c r="D320" s="6"/>
      <c r="E320" s="6"/>
    </row>
    <row r="321" spans="1:5">
      <c r="A321" s="6"/>
      <c r="B321" s="6"/>
      <c r="C321" s="6"/>
      <c r="D321" s="6"/>
      <c r="E321" s="6"/>
    </row>
    <row r="322" spans="1:5">
      <c r="A322" s="6"/>
      <c r="B322" s="6"/>
      <c r="C322" s="6"/>
      <c r="D322" s="6"/>
      <c r="E322" s="6"/>
    </row>
    <row r="323" spans="1:5">
      <c r="A323" s="6"/>
      <c r="B323" s="6"/>
      <c r="C323" s="6"/>
      <c r="D323" s="6"/>
      <c r="E323" s="6"/>
    </row>
    <row r="324" spans="1:5">
      <c r="A324" s="6"/>
      <c r="B324" s="6"/>
      <c r="C324" s="6"/>
      <c r="D324" s="6"/>
      <c r="E324" s="6"/>
    </row>
    <row r="325" spans="1:5">
      <c r="A325" s="6"/>
      <c r="B325" s="6"/>
      <c r="C325" s="6"/>
      <c r="D325" s="6"/>
      <c r="E325" s="6"/>
    </row>
    <row r="326" spans="1:5">
      <c r="A326" s="6"/>
      <c r="B326" s="6"/>
      <c r="C326" s="6"/>
      <c r="D326" s="6"/>
      <c r="E326" s="6"/>
    </row>
    <row r="327" spans="1:5">
      <c r="A327" s="6"/>
      <c r="B327" s="6"/>
      <c r="C327" s="6"/>
      <c r="D327" s="6"/>
      <c r="E327" s="6"/>
    </row>
    <row r="328" spans="1:5">
      <c r="A328" s="6"/>
      <c r="B328" s="6"/>
      <c r="C328" s="6"/>
      <c r="D328" s="6"/>
      <c r="E328" s="6"/>
    </row>
    <row r="329" spans="1:5">
      <c r="A329" s="6"/>
      <c r="B329" s="6"/>
      <c r="C329" s="6"/>
      <c r="D329" s="6"/>
      <c r="E329" s="6"/>
    </row>
    <row r="330" spans="1:5">
      <c r="A330" s="6"/>
      <c r="B330" s="6"/>
      <c r="C330" s="6"/>
      <c r="D330" s="6"/>
      <c r="E330" s="6"/>
    </row>
    <row r="331" spans="1:5">
      <c r="A331" s="6"/>
      <c r="B331" s="6"/>
      <c r="C331" s="6"/>
      <c r="D331" s="6"/>
      <c r="E331" s="6"/>
    </row>
    <row r="332" spans="1:5">
      <c r="A332" s="6"/>
      <c r="B332" s="6"/>
      <c r="C332" s="6"/>
      <c r="D332" s="6"/>
      <c r="E332" s="6"/>
    </row>
    <row r="333" spans="1:5">
      <c r="A333" s="6"/>
      <c r="B333" s="6"/>
      <c r="C333" s="6"/>
      <c r="D333" s="6"/>
      <c r="E333" s="6"/>
    </row>
    <row r="334" spans="1:5">
      <c r="A334" s="6"/>
      <c r="B334" s="6"/>
      <c r="C334" s="6"/>
      <c r="D334" s="6"/>
      <c r="E334" s="6"/>
    </row>
    <row r="335" spans="1:5">
      <c r="A335" s="6"/>
      <c r="B335" s="6"/>
      <c r="C335" s="6"/>
      <c r="D335" s="6"/>
      <c r="E335" s="6"/>
    </row>
    <row r="336" spans="1:5">
      <c r="A336" s="6"/>
      <c r="B336" s="6"/>
      <c r="C336" s="6"/>
      <c r="D336" s="6"/>
      <c r="E336" s="6"/>
    </row>
    <row r="337" spans="1:5">
      <c r="A337" s="6"/>
      <c r="B337" s="6"/>
      <c r="C337" s="6"/>
      <c r="D337" s="6"/>
      <c r="E337" s="6"/>
    </row>
    <row r="338" spans="1:5">
      <c r="A338" s="6"/>
      <c r="B338" s="6"/>
      <c r="C338" s="6"/>
      <c r="D338" s="6"/>
      <c r="E338" s="6"/>
    </row>
    <row r="339" spans="1:5">
      <c r="A339" s="6"/>
      <c r="B339" s="6"/>
      <c r="C339" s="6"/>
      <c r="D339" s="6"/>
      <c r="E339" s="6"/>
    </row>
    <row r="340" spans="1:5">
      <c r="A340" s="6"/>
      <c r="B340" s="6"/>
      <c r="C340" s="6"/>
      <c r="D340" s="6"/>
      <c r="E340" s="6"/>
    </row>
    <row r="341" spans="1:5">
      <c r="A341" s="6"/>
      <c r="B341" s="6"/>
      <c r="C341" s="6"/>
      <c r="D341" s="6"/>
      <c r="E341" s="6"/>
    </row>
    <row r="342" spans="1:5">
      <c r="A342" s="6"/>
      <c r="B342" s="6"/>
      <c r="C342" s="6"/>
      <c r="D342" s="6"/>
      <c r="E342" s="6"/>
    </row>
    <row r="343" spans="1:5">
      <c r="A343" s="6"/>
      <c r="B343" s="6"/>
      <c r="C343" s="6"/>
      <c r="D343" s="6"/>
      <c r="E343" s="6"/>
    </row>
    <row r="344" spans="1:5">
      <c r="A344" s="6"/>
      <c r="B344" s="6"/>
      <c r="C344" s="6"/>
      <c r="D344" s="6"/>
      <c r="E344" s="6"/>
    </row>
    <row r="345" spans="1:5">
      <c r="A345" s="6"/>
      <c r="B345" s="6"/>
      <c r="C345" s="6"/>
      <c r="D345" s="6"/>
      <c r="E345" s="6"/>
    </row>
    <row r="346" spans="1:5">
      <c r="A346" s="6"/>
      <c r="B346" s="6"/>
      <c r="C346" s="6"/>
      <c r="D346" s="6"/>
      <c r="E346" s="6"/>
    </row>
    <row r="347" spans="1:5">
      <c r="A347" s="6"/>
      <c r="B347" s="6"/>
      <c r="C347" s="6"/>
      <c r="D347" s="6"/>
      <c r="E347" s="6"/>
    </row>
    <row r="348" spans="1:5">
      <c r="A348" s="6"/>
      <c r="B348" s="6"/>
      <c r="C348" s="6"/>
      <c r="D348" s="6"/>
      <c r="E348" s="6"/>
    </row>
    <row r="349" spans="1:5">
      <c r="A349" s="6"/>
      <c r="B349" s="6"/>
      <c r="C349" s="6"/>
      <c r="D349" s="6"/>
      <c r="E349" s="6"/>
    </row>
    <row r="350" spans="1:5">
      <c r="A350" s="6"/>
      <c r="B350" s="6"/>
      <c r="C350" s="6"/>
      <c r="D350" s="6"/>
      <c r="E350" s="6"/>
    </row>
    <row r="351" spans="1:5">
      <c r="A351" s="6"/>
      <c r="B351" s="6"/>
      <c r="C351" s="6"/>
      <c r="D351" s="6"/>
      <c r="E351" s="6"/>
    </row>
    <row r="352" spans="1:5">
      <c r="A352" s="6"/>
      <c r="B352" s="6"/>
      <c r="C352" s="6"/>
      <c r="D352" s="6"/>
      <c r="E352" s="6"/>
    </row>
    <row r="353" spans="1:5">
      <c r="A353" s="6"/>
      <c r="B353" s="6"/>
      <c r="C353" s="6"/>
      <c r="D353" s="6"/>
      <c r="E353" s="6"/>
    </row>
    <row r="354" spans="1:5">
      <c r="A354" s="6"/>
      <c r="B354" s="6"/>
      <c r="C354" s="6"/>
      <c r="D354" s="6"/>
      <c r="E354" s="6"/>
    </row>
    <row r="355" spans="1:5">
      <c r="A355" s="6"/>
      <c r="B355" s="6"/>
      <c r="C355" s="6"/>
      <c r="D355" s="6"/>
      <c r="E355" s="6"/>
    </row>
    <row r="356" spans="1:5">
      <c r="A356" s="6"/>
      <c r="B356" s="6"/>
      <c r="C356" s="6"/>
      <c r="D356" s="6"/>
      <c r="E356" s="6"/>
    </row>
    <row r="357" spans="1:5">
      <c r="A357" s="6"/>
      <c r="B357" s="6"/>
      <c r="C357" s="6"/>
      <c r="D357" s="6"/>
      <c r="E357" s="6"/>
    </row>
    <row r="358" spans="1:5">
      <c r="A358" s="6"/>
      <c r="B358" s="6"/>
      <c r="C358" s="6"/>
      <c r="D358" s="6"/>
      <c r="E358" s="6"/>
    </row>
    <row r="359" spans="1:5">
      <c r="A359" s="6"/>
      <c r="B359" s="6"/>
      <c r="C359" s="6"/>
      <c r="D359" s="6"/>
      <c r="E359" s="6"/>
    </row>
    <row r="360" spans="1:5">
      <c r="A360" s="6"/>
      <c r="B360" s="6"/>
      <c r="C360" s="6"/>
      <c r="D360" s="6"/>
      <c r="E360" s="6"/>
    </row>
    <row r="361" spans="1:5">
      <c r="A361" s="6"/>
      <c r="B361" s="6"/>
      <c r="C361" s="6"/>
      <c r="D361" s="6"/>
      <c r="E361" s="6"/>
    </row>
    <row r="362" spans="1:5">
      <c r="A362" s="6"/>
      <c r="B362" s="6"/>
      <c r="C362" s="6"/>
      <c r="D362" s="6"/>
      <c r="E362" s="6"/>
    </row>
    <row r="363" spans="1:5">
      <c r="A363" s="6"/>
      <c r="B363" s="6"/>
      <c r="C363" s="6"/>
      <c r="D363" s="6"/>
      <c r="E363" s="6"/>
    </row>
    <row r="364" spans="1:5">
      <c r="A364" s="6"/>
      <c r="B364" s="6"/>
      <c r="C364" s="6"/>
      <c r="D364" s="6"/>
      <c r="E364" s="6"/>
    </row>
    <row r="365" spans="1:5">
      <c r="A365" s="6"/>
      <c r="B365" s="6"/>
      <c r="C365" s="6"/>
      <c r="D365" s="6"/>
      <c r="E365" s="6"/>
    </row>
    <row r="366" spans="1:5">
      <c r="A366" s="6"/>
      <c r="B366" s="6"/>
      <c r="C366" s="6"/>
      <c r="D366" s="6"/>
      <c r="E366" s="6"/>
    </row>
    <row r="367" spans="1:5">
      <c r="A367" s="6"/>
      <c r="B367" s="6"/>
      <c r="C367" s="6"/>
      <c r="D367" s="6"/>
      <c r="E367" s="6"/>
    </row>
    <row r="368" spans="1:5">
      <c r="A368" s="6"/>
      <c r="B368" s="6"/>
      <c r="C368" s="6"/>
      <c r="D368" s="6"/>
      <c r="E368" s="6"/>
    </row>
    <row r="369" spans="1:5">
      <c r="A369" s="6"/>
      <c r="B369" s="6"/>
      <c r="C369" s="6"/>
      <c r="D369" s="6"/>
      <c r="E369" s="6"/>
    </row>
    <row r="370" spans="1:5">
      <c r="A370" s="6"/>
      <c r="B370" s="6"/>
      <c r="C370" s="6"/>
      <c r="D370" s="6"/>
      <c r="E370" s="6"/>
    </row>
    <row r="371" spans="1:5">
      <c r="A371" s="6"/>
      <c r="B371" s="6"/>
      <c r="C371" s="6"/>
      <c r="D371" s="6"/>
      <c r="E371" s="6"/>
    </row>
    <row r="372" spans="1:5">
      <c r="A372" s="6"/>
      <c r="B372" s="6"/>
      <c r="C372" s="6"/>
      <c r="D372" s="6"/>
      <c r="E372" s="6"/>
    </row>
    <row r="373" spans="1:5">
      <c r="A373" s="6"/>
      <c r="B373" s="6"/>
      <c r="C373" s="6"/>
      <c r="D373" s="6"/>
      <c r="E373" s="6"/>
    </row>
    <row r="374" spans="1:5">
      <c r="A374" s="6"/>
      <c r="B374" s="6"/>
      <c r="C374" s="6"/>
      <c r="D374" s="6"/>
      <c r="E374" s="6"/>
    </row>
    <row r="375" spans="1:5">
      <c r="A375" s="6"/>
      <c r="B375" s="6"/>
      <c r="C375" s="6"/>
      <c r="D375" s="6"/>
      <c r="E375" s="6"/>
    </row>
    <row r="376" spans="1:5">
      <c r="A376" s="6"/>
      <c r="B376" s="6"/>
      <c r="C376" s="6"/>
      <c r="D376" s="6"/>
      <c r="E376" s="6"/>
    </row>
    <row r="377" spans="1:5">
      <c r="A377" s="6"/>
      <c r="B377" s="6"/>
      <c r="C377" s="6"/>
      <c r="D377" s="6"/>
      <c r="E377" s="6"/>
    </row>
    <row r="378" spans="1:5">
      <c r="A378" s="6"/>
      <c r="B378" s="6"/>
      <c r="C378" s="6"/>
      <c r="D378" s="6"/>
      <c r="E378" s="6"/>
    </row>
    <row r="379" spans="1:5">
      <c r="A379" s="6"/>
      <c r="B379" s="6"/>
      <c r="C379" s="6"/>
      <c r="D379" s="6"/>
      <c r="E379" s="6"/>
    </row>
    <row r="380" spans="1:5">
      <c r="A380" s="6"/>
      <c r="B380" s="6"/>
      <c r="C380" s="6"/>
      <c r="D380" s="6"/>
      <c r="E380" s="6"/>
    </row>
    <row r="381" spans="1:5">
      <c r="A381" s="6"/>
      <c r="B381" s="6"/>
      <c r="C381" s="6"/>
      <c r="D381" s="6"/>
      <c r="E381" s="6"/>
    </row>
    <row r="382" spans="1:5">
      <c r="A382" s="6"/>
      <c r="B382" s="6"/>
      <c r="C382" s="6"/>
      <c r="D382" s="6"/>
      <c r="E382" s="6"/>
    </row>
    <row r="383" spans="1:5">
      <c r="A383" s="6"/>
      <c r="B383" s="6"/>
      <c r="C383" s="6"/>
      <c r="D383" s="6"/>
      <c r="E383" s="6"/>
    </row>
    <row r="384" spans="1:5">
      <c r="A384" s="6"/>
      <c r="B384" s="6"/>
      <c r="C384" s="6"/>
      <c r="D384" s="6"/>
      <c r="E384" s="6"/>
    </row>
    <row r="385" spans="1:5">
      <c r="A385" s="6"/>
      <c r="B385" s="6"/>
      <c r="C385" s="6"/>
      <c r="D385" s="6"/>
      <c r="E385" s="6"/>
    </row>
    <row r="386" spans="1:5">
      <c r="A386" s="6"/>
      <c r="B386" s="6"/>
      <c r="C386" s="6"/>
      <c r="D386" s="6"/>
      <c r="E386" s="6"/>
    </row>
    <row r="387" spans="1:5">
      <c r="A387" s="6"/>
      <c r="B387" s="6"/>
      <c r="C387" s="6"/>
      <c r="D387" s="6"/>
      <c r="E387" s="6"/>
    </row>
    <row r="388" spans="1:5">
      <c r="A388" s="6"/>
      <c r="B388" s="6"/>
      <c r="C388" s="6"/>
      <c r="D388" s="6"/>
      <c r="E388" s="6"/>
    </row>
    <row r="389" spans="1:5">
      <c r="A389" s="6"/>
      <c r="B389" s="6"/>
      <c r="C389" s="6"/>
      <c r="D389" s="6"/>
      <c r="E389" s="6"/>
    </row>
    <row r="390" spans="1:5">
      <c r="A390" s="6"/>
      <c r="B390" s="6"/>
      <c r="C390" s="6"/>
      <c r="D390" s="6"/>
      <c r="E390" s="6"/>
    </row>
    <row r="391" spans="1:5">
      <c r="A391" s="6"/>
      <c r="B391" s="6"/>
      <c r="C391" s="6"/>
      <c r="D391" s="6"/>
      <c r="E391" s="6"/>
    </row>
    <row r="392" spans="1:5">
      <c r="A392" s="6"/>
      <c r="B392" s="6"/>
      <c r="C392" s="6"/>
      <c r="D392" s="6"/>
      <c r="E392" s="6"/>
    </row>
    <row r="393" spans="1:5">
      <c r="A393" s="6"/>
      <c r="B393" s="6"/>
      <c r="C393" s="6"/>
      <c r="D393" s="6"/>
      <c r="E393" s="6"/>
    </row>
    <row r="394" spans="1:5">
      <c r="A394" s="6"/>
      <c r="B394" s="6"/>
      <c r="C394" s="6"/>
      <c r="D394" s="6"/>
      <c r="E394" s="6"/>
    </row>
    <row r="395" spans="1:5">
      <c r="A395" s="6"/>
      <c r="B395" s="6"/>
      <c r="C395" s="6"/>
      <c r="D395" s="6"/>
      <c r="E395" s="6"/>
    </row>
    <row r="396" spans="1:5">
      <c r="A396" s="6"/>
      <c r="B396" s="6"/>
      <c r="C396" s="6"/>
      <c r="D396" s="6"/>
      <c r="E396" s="6"/>
    </row>
    <row r="397" spans="1:5">
      <c r="A397" s="6"/>
      <c r="B397" s="6"/>
      <c r="C397" s="6"/>
      <c r="D397" s="6"/>
      <c r="E397" s="6"/>
    </row>
    <row r="398" spans="1:5">
      <c r="A398" s="6"/>
      <c r="B398" s="6"/>
      <c r="C398" s="6"/>
      <c r="D398" s="6"/>
      <c r="E398" s="6"/>
    </row>
    <row r="399" spans="1:5">
      <c r="A399" s="6"/>
      <c r="B399" s="6"/>
      <c r="C399" s="6"/>
      <c r="D399" s="6"/>
      <c r="E399" s="6"/>
    </row>
    <row r="400" spans="1:5">
      <c r="A400" s="6"/>
      <c r="B400" s="6"/>
      <c r="C400" s="6"/>
      <c r="D400" s="6"/>
      <c r="E400" s="6"/>
    </row>
    <row r="401" spans="1:5">
      <c r="A401" s="6"/>
      <c r="B401" s="6"/>
      <c r="C401" s="6"/>
      <c r="D401" s="6"/>
      <c r="E401" s="6"/>
    </row>
    <row r="402" spans="1:5">
      <c r="A402" s="6"/>
      <c r="B402" s="6"/>
      <c r="C402" s="6"/>
      <c r="D402" s="6"/>
      <c r="E402" s="6"/>
    </row>
    <row r="403" spans="1:5">
      <c r="A403" s="6"/>
      <c r="B403" s="6"/>
      <c r="C403" s="6"/>
      <c r="D403" s="6"/>
      <c r="E403" s="6"/>
    </row>
    <row r="404" spans="1:5">
      <c r="A404" s="6"/>
      <c r="B404" s="6"/>
      <c r="C404" s="6"/>
      <c r="D404" s="6"/>
      <c r="E404" s="6"/>
    </row>
    <row r="405" spans="1:5">
      <c r="A405" s="6"/>
      <c r="B405" s="6"/>
      <c r="C405" s="6"/>
      <c r="D405" s="6"/>
      <c r="E405" s="6"/>
    </row>
    <row r="406" spans="1:5">
      <c r="A406" s="6"/>
      <c r="B406" s="6"/>
      <c r="C406" s="6"/>
      <c r="D406" s="6"/>
      <c r="E406" s="6"/>
    </row>
    <row r="407" spans="1:5">
      <c r="A407" s="6"/>
      <c r="B407" s="6"/>
      <c r="C407" s="6"/>
      <c r="D407" s="6"/>
      <c r="E407" s="6"/>
    </row>
    <row r="408" spans="1:5">
      <c r="A408" s="6"/>
      <c r="B408" s="6"/>
      <c r="C408" s="6"/>
      <c r="D408" s="6"/>
      <c r="E408" s="6"/>
    </row>
    <row r="409" spans="1:5">
      <c r="A409" s="6"/>
      <c r="B409" s="6"/>
      <c r="C409" s="6"/>
      <c r="D409" s="6"/>
      <c r="E409" s="6"/>
    </row>
    <row r="410" spans="1:5">
      <c r="A410" s="6"/>
      <c r="B410" s="6"/>
      <c r="C410" s="6"/>
      <c r="D410" s="6"/>
      <c r="E410" s="6"/>
    </row>
    <row r="411" spans="1:5">
      <c r="A411" s="6"/>
      <c r="B411" s="6"/>
      <c r="C411" s="6"/>
      <c r="D411" s="6"/>
      <c r="E411" s="6"/>
    </row>
    <row r="412" spans="1:5">
      <c r="A412" s="6"/>
      <c r="B412" s="6"/>
      <c r="C412" s="6"/>
      <c r="D412" s="6"/>
      <c r="E412" s="6"/>
    </row>
    <row r="413" spans="1:5">
      <c r="A413" s="6"/>
      <c r="B413" s="6"/>
      <c r="C413" s="6"/>
      <c r="D413" s="6"/>
      <c r="E413" s="6"/>
    </row>
    <row r="414" spans="1:5">
      <c r="A414" s="6"/>
      <c r="B414" s="6"/>
      <c r="C414" s="6"/>
      <c r="D414" s="6"/>
      <c r="E414" s="6"/>
    </row>
    <row r="415" spans="1:5">
      <c r="A415" s="6"/>
      <c r="B415" s="6"/>
      <c r="C415" s="6"/>
      <c r="D415" s="6"/>
      <c r="E415" s="6"/>
    </row>
    <row r="416" spans="1:5">
      <c r="A416" s="6"/>
      <c r="B416" s="6"/>
      <c r="C416" s="6"/>
      <c r="D416" s="6"/>
      <c r="E416" s="6"/>
    </row>
    <row r="417" spans="1:5">
      <c r="A417" s="6"/>
      <c r="B417" s="6"/>
      <c r="C417" s="6"/>
      <c r="D417" s="6"/>
      <c r="E417" s="6"/>
    </row>
    <row r="418" spans="1:5">
      <c r="A418" s="6"/>
      <c r="B418" s="6"/>
      <c r="C418" s="6"/>
      <c r="D418" s="6"/>
      <c r="E418" s="6"/>
    </row>
    <row r="419" spans="1:5">
      <c r="A419" s="6"/>
      <c r="B419" s="6"/>
      <c r="C419" s="6"/>
      <c r="D419" s="6"/>
      <c r="E419" s="6"/>
    </row>
    <row r="420" spans="1:5">
      <c r="A420" s="6"/>
      <c r="B420" s="6"/>
      <c r="C420" s="6"/>
      <c r="D420" s="6"/>
      <c r="E420" s="6"/>
    </row>
    <row r="421" spans="1:5">
      <c r="A421" s="6"/>
      <c r="B421" s="6"/>
      <c r="C421" s="6"/>
      <c r="D421" s="6"/>
      <c r="E421" s="6"/>
    </row>
    <row r="422" spans="1:5">
      <c r="A422" s="6"/>
      <c r="B422" s="6"/>
      <c r="C422" s="6"/>
      <c r="D422" s="6"/>
      <c r="E422" s="6"/>
    </row>
    <row r="423" spans="1:5">
      <c r="A423" s="6"/>
      <c r="B423" s="6"/>
      <c r="C423" s="6"/>
      <c r="D423" s="6"/>
      <c r="E423" s="6"/>
    </row>
    <row r="424" spans="1:5">
      <c r="A424" s="6"/>
      <c r="B424" s="6"/>
      <c r="C424" s="6"/>
      <c r="D424" s="6"/>
      <c r="E424" s="6"/>
    </row>
    <row r="425" spans="1:5">
      <c r="A425" s="6"/>
      <c r="B425" s="6"/>
      <c r="C425" s="6"/>
      <c r="D425" s="6"/>
      <c r="E425" s="6"/>
    </row>
    <row r="426" spans="1:5">
      <c r="A426" s="6"/>
      <c r="B426" s="6"/>
      <c r="C426" s="6"/>
      <c r="D426" s="6"/>
      <c r="E426" s="6"/>
    </row>
    <row r="427" spans="1:5">
      <c r="A427" s="6"/>
      <c r="B427" s="6"/>
      <c r="C427" s="6"/>
      <c r="D427" s="6"/>
      <c r="E427" s="6"/>
    </row>
    <row r="428" spans="1:5">
      <c r="A428" s="6"/>
      <c r="B428" s="6"/>
      <c r="C428" s="6"/>
      <c r="D428" s="6"/>
      <c r="E428" s="6"/>
    </row>
    <row r="429" spans="1:5">
      <c r="A429" s="6"/>
      <c r="B429" s="6"/>
      <c r="C429" s="6"/>
      <c r="D429" s="6"/>
      <c r="E429" s="6"/>
    </row>
    <row r="430" spans="1:5">
      <c r="A430" s="6"/>
      <c r="B430" s="6"/>
      <c r="C430" s="6"/>
      <c r="D430" s="6"/>
      <c r="E430" s="6"/>
    </row>
    <row r="431" spans="1:5">
      <c r="A431" s="6"/>
      <c r="B431" s="6"/>
      <c r="C431" s="6"/>
      <c r="D431" s="6"/>
      <c r="E431" s="6"/>
    </row>
    <row r="432" spans="1:5">
      <c r="A432" s="6"/>
      <c r="B432" s="6"/>
      <c r="C432" s="6"/>
      <c r="D432" s="6"/>
      <c r="E432" s="6"/>
    </row>
    <row r="433" spans="1:5">
      <c r="A433" s="6"/>
      <c r="B433" s="6"/>
      <c r="C433" s="6"/>
      <c r="D433" s="6"/>
      <c r="E433" s="6"/>
    </row>
    <row r="434" spans="1:5">
      <c r="A434" s="6"/>
      <c r="B434" s="6"/>
      <c r="C434" s="6"/>
      <c r="D434" s="6"/>
      <c r="E434" s="6"/>
    </row>
    <row r="435" spans="1:5">
      <c r="A435" s="6"/>
      <c r="B435" s="6"/>
      <c r="C435" s="6"/>
      <c r="D435" s="6"/>
      <c r="E435" s="6"/>
    </row>
    <row r="436" spans="1:5">
      <c r="A436" s="6"/>
      <c r="B436" s="6"/>
      <c r="C436" s="6"/>
      <c r="D436" s="6"/>
      <c r="E436" s="6"/>
    </row>
    <row r="437" spans="1:5">
      <c r="A437" s="6"/>
      <c r="B437" s="6"/>
      <c r="C437" s="6"/>
      <c r="D437" s="6"/>
      <c r="E437" s="6"/>
    </row>
    <row r="438" spans="1:5">
      <c r="A438" s="6"/>
      <c r="B438" s="6"/>
      <c r="C438" s="6"/>
      <c r="D438" s="6"/>
      <c r="E438" s="6"/>
    </row>
    <row r="439" spans="1:5">
      <c r="A439" s="6"/>
      <c r="B439" s="6"/>
      <c r="C439" s="6"/>
      <c r="D439" s="6"/>
      <c r="E439" s="6"/>
    </row>
    <row r="440" spans="1:5">
      <c r="A440" s="6"/>
      <c r="B440" s="6"/>
      <c r="C440" s="6"/>
      <c r="D440" s="6"/>
      <c r="E440" s="6"/>
    </row>
    <row r="441" spans="1:5">
      <c r="A441" s="6"/>
      <c r="B441" s="6"/>
      <c r="C441" s="6"/>
      <c r="D441" s="6"/>
      <c r="E441" s="6"/>
    </row>
    <row r="442" spans="1:5">
      <c r="A442" s="6"/>
      <c r="B442" s="6"/>
      <c r="C442" s="6"/>
      <c r="D442" s="6"/>
      <c r="E442" s="6"/>
    </row>
    <row r="443" spans="1:5">
      <c r="A443" s="6"/>
      <c r="B443" s="6"/>
      <c r="C443" s="6"/>
      <c r="D443" s="6"/>
      <c r="E443" s="6"/>
    </row>
    <row r="444" spans="1:5">
      <c r="A444" s="6"/>
      <c r="B444" s="6"/>
      <c r="C444" s="6"/>
      <c r="D444" s="6"/>
      <c r="E444" s="6"/>
    </row>
    <row r="445" spans="1:5">
      <c r="A445" s="6"/>
      <c r="B445" s="6"/>
      <c r="C445" s="6"/>
      <c r="D445" s="6"/>
      <c r="E445" s="6"/>
    </row>
    <row r="446" spans="1:5">
      <c r="A446" s="6"/>
      <c r="B446" s="6"/>
      <c r="C446" s="6"/>
      <c r="D446" s="6"/>
      <c r="E446" s="6"/>
    </row>
    <row r="447" spans="1:5">
      <c r="A447" s="6"/>
      <c r="B447" s="6"/>
      <c r="C447" s="6"/>
      <c r="D447" s="6"/>
      <c r="E447" s="6"/>
    </row>
    <row r="448" spans="1:5">
      <c r="A448" s="6"/>
      <c r="B448" s="6"/>
      <c r="C448" s="6"/>
      <c r="D448" s="6"/>
      <c r="E448" s="6"/>
    </row>
    <row r="449" spans="1:5">
      <c r="A449" s="6"/>
      <c r="B449" s="6"/>
      <c r="C449" s="6"/>
      <c r="D449" s="6"/>
      <c r="E449" s="6"/>
    </row>
    <row r="450" spans="1:5">
      <c r="A450" s="6"/>
      <c r="B450" s="6"/>
      <c r="C450" s="6"/>
      <c r="D450" s="6"/>
      <c r="E450" s="6"/>
    </row>
    <row r="451" spans="1:5">
      <c r="A451" s="6"/>
      <c r="B451" s="6"/>
      <c r="C451" s="6"/>
      <c r="D451" s="6"/>
      <c r="E451" s="6"/>
    </row>
    <row r="452" spans="1:5">
      <c r="A452" s="6"/>
      <c r="B452" s="6"/>
      <c r="C452" s="6"/>
      <c r="D452" s="6"/>
      <c r="E452" s="6"/>
    </row>
    <row r="453" spans="1:5">
      <c r="A453" s="6"/>
      <c r="B453" s="6"/>
      <c r="C453" s="6"/>
      <c r="D453" s="6"/>
      <c r="E453" s="6"/>
    </row>
    <row r="454" spans="1:5">
      <c r="A454" s="6"/>
      <c r="B454" s="6"/>
      <c r="C454" s="6"/>
      <c r="D454" s="6"/>
      <c r="E454" s="6"/>
    </row>
    <row r="455" spans="1:5">
      <c r="A455" s="6"/>
      <c r="B455" s="6"/>
      <c r="C455" s="6"/>
      <c r="D455" s="6"/>
      <c r="E455" s="6"/>
    </row>
    <row r="456" spans="1:5">
      <c r="A456" s="6"/>
      <c r="B456" s="6"/>
      <c r="C456" s="6"/>
      <c r="D456" s="6"/>
      <c r="E456" s="6"/>
    </row>
    <row r="457" spans="1:5">
      <c r="A457" s="6"/>
      <c r="B457" s="6"/>
      <c r="C457" s="6"/>
      <c r="D457" s="6"/>
      <c r="E457" s="6"/>
    </row>
    <row r="458" spans="1:5">
      <c r="A458" s="6"/>
      <c r="B458" s="6"/>
      <c r="C458" s="6"/>
      <c r="D458" s="6"/>
      <c r="E458" s="6"/>
    </row>
    <row r="459" spans="1:5">
      <c r="A459" s="6"/>
      <c r="B459" s="6"/>
      <c r="C459" s="6"/>
      <c r="D459" s="6"/>
      <c r="E459" s="6"/>
    </row>
    <row r="460" spans="1:5">
      <c r="A460" s="6"/>
      <c r="B460" s="6"/>
      <c r="C460" s="6"/>
      <c r="D460" s="6"/>
      <c r="E460" s="6"/>
    </row>
    <row r="461" spans="1:5">
      <c r="A461" s="6"/>
      <c r="B461" s="6"/>
      <c r="C461" s="6"/>
      <c r="D461" s="6"/>
      <c r="E461" s="6"/>
    </row>
    <row r="462" spans="1:5">
      <c r="A462" s="6"/>
      <c r="B462" s="6"/>
      <c r="C462" s="6"/>
      <c r="D462" s="6"/>
      <c r="E462" s="6"/>
    </row>
    <row r="463" spans="1:5">
      <c r="A463" s="6"/>
      <c r="B463" s="6"/>
      <c r="C463" s="6"/>
      <c r="D463" s="6"/>
      <c r="E463" s="6"/>
    </row>
    <row r="464" spans="1:5">
      <c r="A464" s="6"/>
      <c r="B464" s="6"/>
      <c r="C464" s="6"/>
      <c r="D464" s="6"/>
      <c r="E464" s="6"/>
    </row>
    <row r="465" spans="1:5">
      <c r="A465" s="6"/>
      <c r="B465" s="6"/>
      <c r="C465" s="6"/>
      <c r="D465" s="6"/>
      <c r="E465" s="6"/>
    </row>
    <row r="466" spans="1:5">
      <c r="A466" s="6"/>
      <c r="B466" s="6"/>
      <c r="C466" s="6"/>
      <c r="D466" s="6"/>
      <c r="E466" s="6"/>
    </row>
    <row r="467" spans="1:5">
      <c r="A467" s="6"/>
      <c r="B467" s="6"/>
      <c r="C467" s="6"/>
      <c r="D467" s="6"/>
      <c r="E467" s="6"/>
    </row>
    <row r="468" spans="1:5">
      <c r="A468" s="6"/>
      <c r="B468" s="6"/>
      <c r="C468" s="6"/>
      <c r="D468" s="6"/>
      <c r="E468" s="6"/>
    </row>
    <row r="469" spans="1:5">
      <c r="A469" s="6"/>
      <c r="B469" s="6"/>
      <c r="C469" s="6"/>
      <c r="D469" s="6"/>
      <c r="E469" s="6"/>
    </row>
    <row r="470" spans="1:5">
      <c r="A470" s="6"/>
      <c r="B470" s="6"/>
      <c r="C470" s="6"/>
      <c r="D470" s="6"/>
      <c r="E470" s="6"/>
    </row>
    <row r="471" spans="1:5">
      <c r="A471" s="6"/>
      <c r="B471" s="6"/>
      <c r="C471" s="6"/>
      <c r="D471" s="6"/>
      <c r="E471" s="6"/>
    </row>
    <row r="472" spans="1:5">
      <c r="A472" s="6"/>
      <c r="B472" s="6"/>
      <c r="C472" s="6"/>
      <c r="D472" s="6"/>
      <c r="E472" s="6"/>
    </row>
    <row r="473" spans="1:5">
      <c r="A473" s="6"/>
      <c r="B473" s="6"/>
      <c r="C473" s="6"/>
      <c r="D473" s="6"/>
      <c r="E473" s="6"/>
    </row>
    <row r="474" spans="1:5">
      <c r="A474" s="6"/>
      <c r="B474" s="6"/>
      <c r="C474" s="6"/>
      <c r="D474" s="6"/>
      <c r="E474" s="6"/>
    </row>
    <row r="475" spans="1:5">
      <c r="A475" s="6"/>
      <c r="B475" s="6"/>
      <c r="C475" s="6"/>
      <c r="D475" s="6"/>
      <c r="E475" s="6"/>
    </row>
    <row r="476" spans="1:5">
      <c r="A476" s="6"/>
      <c r="B476" s="6"/>
      <c r="C476" s="6"/>
      <c r="D476" s="6"/>
      <c r="E476" s="6"/>
    </row>
    <row r="477" spans="1:5">
      <c r="A477" s="6"/>
      <c r="B477" s="6"/>
      <c r="C477" s="6"/>
      <c r="D477" s="6"/>
      <c r="E477" s="6"/>
    </row>
    <row r="478" spans="1:5">
      <c r="A478" s="6"/>
      <c r="B478" s="6"/>
      <c r="C478" s="6"/>
      <c r="D478" s="6"/>
      <c r="E478" s="6"/>
    </row>
    <row r="479" spans="1:5">
      <c r="A479" s="6"/>
      <c r="B479" s="6"/>
      <c r="C479" s="6"/>
      <c r="D479" s="6"/>
      <c r="E479" s="6"/>
    </row>
    <row r="480" spans="1:5">
      <c r="A480" s="6"/>
      <c r="B480" s="6"/>
      <c r="C480" s="6"/>
      <c r="D480" s="6"/>
      <c r="E480" s="6"/>
    </row>
    <row r="481" spans="1:5">
      <c r="A481" s="6"/>
      <c r="B481" s="6"/>
      <c r="C481" s="6"/>
      <c r="D481" s="6"/>
      <c r="E481" s="6"/>
    </row>
    <row r="482" spans="1:5">
      <c r="A482" s="6"/>
      <c r="B482" s="6"/>
      <c r="C482" s="6"/>
      <c r="D482" s="6"/>
      <c r="E482" s="6"/>
    </row>
    <row r="483" spans="1:5">
      <c r="A483" s="6"/>
      <c r="B483" s="6"/>
      <c r="C483" s="6"/>
      <c r="D483" s="6"/>
      <c r="E483" s="6"/>
    </row>
    <row r="484" spans="1:5">
      <c r="A484" s="6"/>
      <c r="B484" s="6"/>
      <c r="C484" s="6"/>
      <c r="D484" s="6"/>
      <c r="E484" s="6"/>
    </row>
    <row r="485" spans="1:5">
      <c r="A485" s="6"/>
      <c r="B485" s="6"/>
      <c r="C485" s="6"/>
      <c r="D485" s="6"/>
      <c r="E485" s="6"/>
    </row>
    <row r="486" spans="1:5">
      <c r="A486" s="6"/>
      <c r="B486" s="6"/>
      <c r="C486" s="6"/>
      <c r="D486" s="6"/>
      <c r="E486" s="6"/>
    </row>
    <row r="487" spans="1:5">
      <c r="A487" s="6"/>
      <c r="B487" s="6"/>
      <c r="C487" s="6"/>
      <c r="D487" s="6"/>
      <c r="E487" s="6"/>
    </row>
    <row r="488" spans="1:5">
      <c r="A488" s="6"/>
      <c r="B488" s="6"/>
      <c r="C488" s="6"/>
      <c r="D488" s="6"/>
      <c r="E488" s="6"/>
    </row>
    <row r="489" spans="1:5">
      <c r="A489" s="6"/>
      <c r="B489" s="6"/>
      <c r="C489" s="6"/>
      <c r="D489" s="6"/>
      <c r="E489" s="6"/>
    </row>
    <row r="490" spans="1:5">
      <c r="A490" s="6"/>
      <c r="B490" s="6"/>
      <c r="C490" s="6"/>
      <c r="D490" s="6"/>
      <c r="E490" s="6"/>
    </row>
    <row r="491" spans="1:5">
      <c r="A491" s="6"/>
      <c r="B491" s="6"/>
      <c r="C491" s="6"/>
      <c r="D491" s="6"/>
      <c r="E491" s="6"/>
    </row>
    <row r="492" spans="1:5">
      <c r="A492" s="6"/>
      <c r="B492" s="6"/>
      <c r="C492" s="6"/>
      <c r="D492" s="6"/>
      <c r="E492" s="6"/>
    </row>
    <row r="493" spans="1:5">
      <c r="A493" s="6"/>
      <c r="B493" s="6"/>
      <c r="C493" s="6"/>
      <c r="D493" s="6"/>
      <c r="E493" s="6"/>
    </row>
    <row r="494" spans="1:5">
      <c r="A494" s="6"/>
      <c r="B494" s="6"/>
      <c r="C494" s="6"/>
      <c r="D494" s="6"/>
      <c r="E494" s="6"/>
    </row>
    <row r="495" spans="1:5">
      <c r="A495" s="6"/>
      <c r="B495" s="6"/>
      <c r="C495" s="6"/>
      <c r="D495" s="6"/>
      <c r="E495" s="6"/>
    </row>
    <row r="496" spans="1:5">
      <c r="A496" s="6"/>
      <c r="B496" s="6"/>
      <c r="C496" s="6"/>
      <c r="D496" s="6"/>
      <c r="E496" s="6"/>
    </row>
    <row r="497" spans="1:5">
      <c r="A497" s="6"/>
      <c r="B497" s="6"/>
      <c r="C497" s="6"/>
      <c r="D497" s="6"/>
      <c r="E497" s="6"/>
    </row>
    <row r="498" spans="1:5">
      <c r="A498" s="6"/>
      <c r="B498" s="6"/>
      <c r="C498" s="6"/>
      <c r="D498" s="6"/>
      <c r="E498" s="6"/>
    </row>
    <row r="499" spans="1:5">
      <c r="A499" s="6"/>
      <c r="B499" s="6"/>
      <c r="C499" s="6"/>
      <c r="D499" s="6"/>
      <c r="E499" s="6"/>
    </row>
    <row r="500" spans="1:5">
      <c r="A500" s="6"/>
      <c r="B500" s="6"/>
      <c r="C500" s="6"/>
      <c r="D500" s="6"/>
      <c r="E500" s="6"/>
    </row>
    <row r="501" spans="1:5">
      <c r="A501" s="6"/>
      <c r="B501" s="6"/>
      <c r="C501" s="6"/>
      <c r="D501" s="6"/>
      <c r="E501" s="6"/>
    </row>
    <row r="502" spans="1:5">
      <c r="A502" s="6"/>
      <c r="B502" s="6"/>
      <c r="C502" s="6"/>
      <c r="D502" s="6"/>
      <c r="E502" s="6"/>
    </row>
    <row r="503" spans="1:5">
      <c r="A503" s="6"/>
      <c r="B503" s="6"/>
      <c r="C503" s="6"/>
      <c r="D503" s="6"/>
      <c r="E503" s="6"/>
    </row>
    <row r="504" spans="1:5">
      <c r="A504" s="6"/>
      <c r="B504" s="6"/>
      <c r="C504" s="6"/>
      <c r="D504" s="6"/>
      <c r="E504" s="6"/>
    </row>
    <row r="505" spans="1:5">
      <c r="A505" s="6"/>
      <c r="B505" s="6"/>
      <c r="C505" s="6"/>
      <c r="D505" s="6"/>
      <c r="E505" s="6"/>
    </row>
    <row r="506" spans="1:5">
      <c r="A506" s="6"/>
      <c r="B506" s="6"/>
      <c r="C506" s="6"/>
      <c r="D506" s="6"/>
      <c r="E506" s="6"/>
    </row>
    <row r="507" spans="1:5">
      <c r="A507" s="6"/>
      <c r="B507" s="6"/>
      <c r="C507" s="6"/>
      <c r="D507" s="6"/>
      <c r="E507" s="6"/>
    </row>
    <row r="508" spans="1:5">
      <c r="A508" s="6"/>
      <c r="B508" s="6"/>
      <c r="C508" s="6"/>
      <c r="D508" s="6"/>
      <c r="E508" s="6"/>
    </row>
    <row r="509" spans="1:5">
      <c r="A509" s="6"/>
      <c r="B509" s="6"/>
      <c r="C509" s="6"/>
      <c r="D509" s="6"/>
      <c r="E509" s="6"/>
    </row>
    <row r="510" spans="1:5">
      <c r="A510" s="6"/>
      <c r="B510" s="6"/>
      <c r="C510" s="6"/>
      <c r="D510" s="6"/>
      <c r="E510" s="6"/>
    </row>
    <row r="511" spans="1:5">
      <c r="A511" s="6"/>
      <c r="B511" s="6"/>
      <c r="C511" s="6"/>
      <c r="D511" s="6"/>
      <c r="E511" s="6"/>
    </row>
    <row r="512" spans="1:5">
      <c r="A512" s="6"/>
      <c r="B512" s="6"/>
      <c r="C512" s="6"/>
      <c r="D512" s="6"/>
      <c r="E512" s="6"/>
    </row>
    <row r="513" spans="1:5">
      <c r="A513" s="6"/>
      <c r="B513" s="6"/>
      <c r="C513" s="6"/>
      <c r="D513" s="6"/>
      <c r="E513" s="6"/>
    </row>
    <row r="514" spans="1:5">
      <c r="A514" s="6"/>
      <c r="B514" s="6"/>
      <c r="C514" s="6"/>
      <c r="D514" s="6"/>
      <c r="E514" s="6"/>
    </row>
    <row r="515" spans="1:5">
      <c r="A515" s="6"/>
      <c r="B515" s="6"/>
      <c r="C515" s="6"/>
      <c r="D515" s="6"/>
      <c r="E515" s="6"/>
    </row>
    <row r="516" spans="1:5">
      <c r="A516" s="6"/>
      <c r="B516" s="6"/>
      <c r="C516" s="6"/>
      <c r="D516" s="6"/>
      <c r="E516" s="6"/>
    </row>
    <row r="517" spans="1:5">
      <c r="A517" s="6"/>
      <c r="B517" s="6"/>
      <c r="C517" s="6"/>
      <c r="D517" s="6"/>
      <c r="E517" s="6"/>
    </row>
    <row r="518" spans="1:5">
      <c r="A518" s="6"/>
      <c r="B518" s="6"/>
      <c r="C518" s="6"/>
      <c r="D518" s="6"/>
      <c r="E518" s="6"/>
    </row>
    <row r="519" spans="1:5">
      <c r="A519" s="6"/>
      <c r="B519" s="6"/>
      <c r="C519" s="6"/>
      <c r="D519" s="6"/>
      <c r="E519" s="6"/>
    </row>
    <row r="520" spans="1:5">
      <c r="A520" s="6"/>
      <c r="B520" s="6"/>
      <c r="C520" s="6"/>
      <c r="D520" s="6"/>
      <c r="E520" s="6"/>
    </row>
    <row r="521" spans="1:5">
      <c r="A521" s="6"/>
      <c r="B521" s="6"/>
      <c r="C521" s="6"/>
      <c r="D521" s="6"/>
      <c r="E521" s="6"/>
    </row>
    <row r="522" spans="1:5">
      <c r="A522" s="6"/>
      <c r="B522" s="6"/>
      <c r="C522" s="6"/>
      <c r="D522" s="6"/>
      <c r="E522" s="6"/>
    </row>
    <row r="523" spans="1:5">
      <c r="A523" s="6"/>
      <c r="B523" s="6"/>
      <c r="C523" s="6"/>
      <c r="D523" s="6"/>
      <c r="E523" s="6"/>
    </row>
    <row r="524" spans="1:5">
      <c r="A524" s="6"/>
      <c r="B524" s="6"/>
      <c r="C524" s="6"/>
      <c r="D524" s="6"/>
      <c r="E524" s="6"/>
    </row>
    <row r="525" spans="1:5">
      <c r="A525" s="6"/>
      <c r="B525" s="6"/>
      <c r="C525" s="6"/>
      <c r="D525" s="6"/>
      <c r="E525" s="6"/>
    </row>
    <row r="526" spans="1:5">
      <c r="A526" s="6"/>
      <c r="B526" s="6"/>
      <c r="C526" s="6"/>
      <c r="D526" s="6"/>
      <c r="E526" s="6"/>
    </row>
    <row r="527" spans="1:5">
      <c r="A527" s="6"/>
      <c r="B527" s="6"/>
      <c r="C527" s="6"/>
      <c r="D527" s="6"/>
      <c r="E527" s="6"/>
    </row>
    <row r="528" spans="1:5">
      <c r="A528" s="6"/>
      <c r="B528" s="6"/>
      <c r="C528" s="6"/>
      <c r="D528" s="6"/>
      <c r="E528" s="6"/>
    </row>
    <row r="529" spans="1:5">
      <c r="A529" s="6"/>
      <c r="B529" s="6"/>
      <c r="C529" s="6"/>
      <c r="D529" s="6"/>
      <c r="E529" s="6"/>
    </row>
    <row r="530" spans="1:5">
      <c r="A530" s="6"/>
      <c r="B530" s="6"/>
      <c r="C530" s="6"/>
      <c r="D530" s="6"/>
      <c r="E530" s="6"/>
    </row>
    <row r="531" spans="1:5">
      <c r="A531" s="6"/>
      <c r="B531" s="6"/>
      <c r="C531" s="6"/>
      <c r="D531" s="6"/>
      <c r="E531" s="6"/>
    </row>
    <row r="532" spans="1:5">
      <c r="A532" s="6"/>
      <c r="B532" s="6"/>
      <c r="C532" s="6"/>
      <c r="D532" s="6"/>
      <c r="E532" s="6"/>
    </row>
    <row r="533" spans="1:5">
      <c r="A533" s="6"/>
      <c r="B533" s="6"/>
      <c r="C533" s="6"/>
      <c r="D533" s="6"/>
      <c r="E533" s="6"/>
    </row>
    <row r="534" spans="1:5">
      <c r="A534" s="6"/>
      <c r="B534" s="6"/>
      <c r="C534" s="6"/>
      <c r="D534" s="6"/>
      <c r="E534" s="6"/>
    </row>
    <row r="535" spans="1:5">
      <c r="A535" s="6"/>
      <c r="B535" s="6"/>
      <c r="C535" s="6"/>
      <c r="D535" s="6"/>
      <c r="E535" s="6"/>
    </row>
    <row r="536" spans="1:5">
      <c r="A536" s="6"/>
      <c r="B536" s="6"/>
      <c r="C536" s="6"/>
      <c r="D536" s="6"/>
      <c r="E536" s="6"/>
    </row>
    <row r="537" spans="1:5">
      <c r="A537" s="6"/>
      <c r="B537" s="6"/>
      <c r="C537" s="6"/>
      <c r="D537" s="6"/>
      <c r="E537" s="6"/>
    </row>
    <row r="538" spans="1:5">
      <c r="A538" s="6"/>
      <c r="B538" s="6"/>
      <c r="C538" s="6"/>
      <c r="D538" s="6"/>
      <c r="E538" s="6"/>
    </row>
    <row r="539" spans="1:5">
      <c r="A539" s="6"/>
      <c r="B539" s="6"/>
      <c r="C539" s="6"/>
      <c r="D539" s="6"/>
      <c r="E539" s="6"/>
    </row>
    <row r="540" spans="1:5">
      <c r="A540" s="6"/>
      <c r="B540" s="6"/>
      <c r="C540" s="6"/>
      <c r="D540" s="6"/>
      <c r="E540" s="6"/>
    </row>
    <row r="541" spans="1:5">
      <c r="A541" s="6"/>
      <c r="B541" s="6"/>
      <c r="C541" s="6"/>
      <c r="D541" s="6"/>
      <c r="E541" s="6"/>
    </row>
    <row r="542" spans="1:5">
      <c r="A542" s="6"/>
      <c r="B542" s="6"/>
      <c r="C542" s="6"/>
      <c r="D542" s="6"/>
      <c r="E542" s="6"/>
    </row>
    <row r="543" spans="1:5">
      <c r="A543" s="6"/>
      <c r="B543" s="6"/>
      <c r="C543" s="6"/>
      <c r="D543" s="6"/>
      <c r="E543" s="6"/>
    </row>
    <row r="544" spans="1:5">
      <c r="A544" s="6"/>
      <c r="B544" s="6"/>
      <c r="C544" s="6"/>
      <c r="D544" s="6"/>
      <c r="E544" s="6"/>
    </row>
    <row r="545" spans="1:5">
      <c r="A545" s="6"/>
      <c r="B545" s="6"/>
      <c r="C545" s="6"/>
      <c r="D545" s="6"/>
      <c r="E545" s="6"/>
    </row>
    <row r="546" spans="1:5">
      <c r="A546" s="6"/>
      <c r="B546" s="6"/>
      <c r="C546" s="6"/>
      <c r="D546" s="6"/>
      <c r="E546" s="6"/>
    </row>
    <row r="547" spans="1:5">
      <c r="A547" s="6"/>
      <c r="B547" s="6"/>
      <c r="C547" s="6"/>
      <c r="D547" s="6"/>
      <c r="E547" s="6"/>
    </row>
    <row r="548" spans="1:5">
      <c r="A548" s="6"/>
      <c r="B548" s="6"/>
      <c r="C548" s="6"/>
      <c r="D548" s="6"/>
      <c r="E548" s="6"/>
    </row>
    <row r="549" spans="1:5">
      <c r="A549" s="6"/>
      <c r="B549" s="6"/>
      <c r="C549" s="6"/>
      <c r="D549" s="6"/>
      <c r="E549" s="6"/>
    </row>
    <row r="550" spans="1:5">
      <c r="A550" s="6"/>
      <c r="B550" s="6"/>
      <c r="C550" s="6"/>
      <c r="D550" s="6"/>
      <c r="E550" s="6"/>
    </row>
    <row r="551" spans="1:5">
      <c r="A551" s="6"/>
      <c r="B551" s="6"/>
      <c r="C551" s="6"/>
      <c r="D551" s="6"/>
      <c r="E551" s="6"/>
    </row>
    <row r="552" spans="1:5">
      <c r="A552" s="6"/>
      <c r="B552" s="6"/>
      <c r="C552" s="6"/>
      <c r="D552" s="6"/>
      <c r="E552" s="6"/>
    </row>
    <row r="553" spans="1:5">
      <c r="A553" s="6"/>
      <c r="B553" s="6"/>
      <c r="C553" s="6"/>
      <c r="D553" s="6"/>
      <c r="E553" s="6"/>
    </row>
    <row r="554" spans="1:5">
      <c r="A554" s="6"/>
      <c r="B554" s="6"/>
      <c r="C554" s="6"/>
      <c r="D554" s="6"/>
      <c r="E554" s="6"/>
    </row>
    <row r="555" spans="1:5">
      <c r="A555" s="6"/>
      <c r="B555" s="6"/>
      <c r="C555" s="6"/>
      <c r="D555" s="6"/>
      <c r="E555" s="6"/>
    </row>
    <row r="556" spans="1:5">
      <c r="A556" s="6"/>
      <c r="B556" s="6"/>
      <c r="C556" s="6"/>
      <c r="D556" s="6"/>
      <c r="E556" s="6"/>
    </row>
    <row r="557" spans="1:5">
      <c r="A557" s="6"/>
      <c r="B557" s="6"/>
      <c r="C557" s="6"/>
      <c r="D557" s="6"/>
      <c r="E557" s="6"/>
    </row>
    <row r="558" spans="1:5">
      <c r="A558" s="6"/>
      <c r="B558" s="6"/>
      <c r="C558" s="6"/>
      <c r="D558" s="6"/>
      <c r="E558" s="6"/>
    </row>
    <row r="559" spans="1:5">
      <c r="A559" s="6"/>
      <c r="B559" s="6"/>
      <c r="C559" s="6"/>
      <c r="D559" s="6"/>
      <c r="E559" s="6"/>
    </row>
    <row r="560" spans="1:5">
      <c r="A560" s="6"/>
      <c r="B560" s="6"/>
      <c r="C560" s="6"/>
      <c r="D560" s="6"/>
      <c r="E560" s="6"/>
    </row>
    <row r="561" spans="1:5">
      <c r="A561" s="6"/>
      <c r="B561" s="6"/>
      <c r="C561" s="6"/>
      <c r="D561" s="6"/>
      <c r="E561" s="6"/>
    </row>
    <row r="562" spans="1:5">
      <c r="A562" s="6"/>
      <c r="B562" s="6"/>
      <c r="C562" s="6"/>
      <c r="D562" s="6"/>
      <c r="E562" s="6"/>
    </row>
    <row r="563" spans="1:5">
      <c r="A563" s="6"/>
      <c r="B563" s="6"/>
      <c r="C563" s="6"/>
      <c r="D563" s="6"/>
      <c r="E563" s="6"/>
    </row>
    <row r="564" spans="1:5">
      <c r="A564" s="6"/>
      <c r="B564" s="6"/>
      <c r="C564" s="6"/>
      <c r="D564" s="6"/>
      <c r="E564" s="6"/>
    </row>
    <row r="565" spans="1:5">
      <c r="A565" s="6"/>
      <c r="B565" s="6"/>
      <c r="C565" s="6"/>
      <c r="D565" s="6"/>
      <c r="E565" s="6"/>
    </row>
    <row r="566" spans="1:5">
      <c r="A566" s="6"/>
      <c r="B566" s="6"/>
      <c r="C566" s="6"/>
      <c r="D566" s="6"/>
      <c r="E566" s="6"/>
    </row>
    <row r="567" spans="1:5">
      <c r="A567" s="6"/>
      <c r="B567" s="6"/>
      <c r="C567" s="6"/>
      <c r="D567" s="6"/>
      <c r="E567" s="6"/>
    </row>
    <row r="568" spans="1:5">
      <c r="A568" s="6"/>
      <c r="B568" s="6"/>
      <c r="C568" s="6"/>
      <c r="D568" s="6"/>
      <c r="E568" s="6"/>
    </row>
    <row r="569" spans="1:5">
      <c r="A569" s="6"/>
      <c r="B569" s="6"/>
      <c r="C569" s="6"/>
      <c r="D569" s="6"/>
      <c r="E569" s="6"/>
    </row>
    <row r="570" spans="1:5">
      <c r="A570" s="6"/>
      <c r="B570" s="6"/>
      <c r="C570" s="6"/>
      <c r="D570" s="6"/>
      <c r="E570" s="6"/>
    </row>
    <row r="571" spans="1:5">
      <c r="A571" s="6"/>
      <c r="B571" s="6"/>
      <c r="C571" s="6"/>
      <c r="D571" s="6"/>
      <c r="E571" s="6"/>
    </row>
    <row r="572" spans="1:5">
      <c r="A572" s="6"/>
      <c r="B572" s="6"/>
      <c r="C572" s="6"/>
      <c r="D572" s="6"/>
      <c r="E572" s="6"/>
    </row>
    <row r="573" spans="1:5">
      <c r="A573" s="6"/>
      <c r="B573" s="6"/>
      <c r="C573" s="6"/>
      <c r="D573" s="6"/>
      <c r="E573" s="6"/>
    </row>
    <row r="574" spans="1:5">
      <c r="A574" s="6"/>
      <c r="B574" s="6"/>
      <c r="C574" s="6"/>
      <c r="D574" s="6"/>
      <c r="E574" s="6"/>
    </row>
    <row r="575" spans="1:5">
      <c r="A575" s="6"/>
      <c r="B575" s="6"/>
      <c r="C575" s="6"/>
      <c r="D575" s="6"/>
      <c r="E575" s="6"/>
    </row>
    <row r="576" spans="1:5">
      <c r="A576" s="6"/>
      <c r="B576" s="6"/>
      <c r="C576" s="6"/>
      <c r="D576" s="6"/>
      <c r="E576" s="6"/>
    </row>
    <row r="577" spans="1:5">
      <c r="A577" s="6"/>
      <c r="B577" s="6"/>
      <c r="C577" s="6"/>
      <c r="D577" s="6"/>
      <c r="E577" s="6"/>
    </row>
    <row r="578" spans="1:5">
      <c r="A578" s="6"/>
      <c r="B578" s="6"/>
      <c r="C578" s="6"/>
      <c r="D578" s="6"/>
      <c r="E578" s="6"/>
    </row>
    <row r="579" spans="1:5">
      <c r="A579" s="6"/>
      <c r="B579" s="6"/>
      <c r="C579" s="6"/>
      <c r="D579" s="6"/>
      <c r="E579" s="6"/>
    </row>
    <row r="580" spans="1:5">
      <c r="A580" s="6"/>
      <c r="B580" s="6"/>
      <c r="C580" s="6"/>
      <c r="D580" s="6"/>
      <c r="E580" s="6"/>
    </row>
    <row r="581" spans="1:5">
      <c r="A581" s="6"/>
      <c r="B581" s="6"/>
      <c r="C581" s="6"/>
      <c r="D581" s="6"/>
      <c r="E581" s="6"/>
    </row>
    <row r="582" spans="1:5">
      <c r="A582" s="6"/>
      <c r="B582" s="6"/>
      <c r="C582" s="6"/>
      <c r="D582" s="6"/>
      <c r="E582" s="6"/>
    </row>
    <row r="583" spans="1:5">
      <c r="A583" s="6"/>
      <c r="B583" s="6"/>
      <c r="C583" s="6"/>
      <c r="D583" s="6"/>
      <c r="E583" s="6"/>
    </row>
    <row r="584" spans="1:5">
      <c r="A584" s="6"/>
      <c r="B584" s="6"/>
      <c r="C584" s="6"/>
      <c r="D584" s="6"/>
      <c r="E584" s="6"/>
    </row>
    <row r="585" spans="1:5">
      <c r="A585" s="6"/>
      <c r="B585" s="6"/>
      <c r="C585" s="6"/>
      <c r="D585" s="6"/>
      <c r="E585" s="6"/>
    </row>
    <row r="586" spans="1:5">
      <c r="A586" s="6"/>
      <c r="B586" s="6"/>
      <c r="C586" s="6"/>
      <c r="D586" s="6"/>
      <c r="E586" s="6"/>
    </row>
    <row r="587" spans="1:5">
      <c r="A587" s="6"/>
      <c r="B587" s="6"/>
      <c r="C587" s="6"/>
      <c r="D587" s="6"/>
      <c r="E587" s="6"/>
    </row>
    <row r="588" spans="1:5">
      <c r="A588" s="6"/>
      <c r="B588" s="6"/>
      <c r="C588" s="6"/>
      <c r="D588" s="6"/>
      <c r="E588" s="6"/>
    </row>
    <row r="589" spans="1:5">
      <c r="A589" s="6"/>
      <c r="B589" s="6"/>
      <c r="C589" s="6"/>
      <c r="D589" s="6"/>
      <c r="E589" s="6"/>
    </row>
    <row r="590" spans="1:5">
      <c r="A590" s="6"/>
      <c r="B590" s="6"/>
      <c r="C590" s="6"/>
      <c r="D590" s="6"/>
      <c r="E590" s="6"/>
    </row>
    <row r="591" spans="1:5">
      <c r="A591" s="6"/>
      <c r="B591" s="6"/>
      <c r="C591" s="6"/>
      <c r="D591" s="6"/>
      <c r="E591" s="6"/>
    </row>
    <row r="592" spans="1:5">
      <c r="A592" s="6"/>
      <c r="B592" s="6"/>
      <c r="C592" s="6"/>
      <c r="D592" s="6"/>
      <c r="E592" s="6"/>
    </row>
    <row r="593" spans="1:5">
      <c r="A593" s="6"/>
      <c r="B593" s="6"/>
      <c r="C593" s="6"/>
      <c r="D593" s="6"/>
      <c r="E593" s="6"/>
    </row>
    <row r="594" spans="1:5">
      <c r="A594" s="6"/>
      <c r="B594" s="6"/>
      <c r="C594" s="6"/>
      <c r="D594" s="6"/>
      <c r="E594" s="6"/>
    </row>
    <row r="595" spans="1:5">
      <c r="A595" s="6"/>
      <c r="B595" s="6"/>
      <c r="C595" s="6"/>
      <c r="D595" s="6"/>
      <c r="E595" s="6"/>
    </row>
    <row r="596" spans="1:5">
      <c r="A596" s="6"/>
      <c r="B596" s="6"/>
      <c r="C596" s="6"/>
      <c r="D596" s="6"/>
      <c r="E596" s="6"/>
    </row>
    <row r="597" spans="1:5">
      <c r="A597" s="6"/>
      <c r="B597" s="6"/>
      <c r="C597" s="6"/>
      <c r="D597" s="6"/>
      <c r="E597" s="6"/>
    </row>
    <row r="598" spans="1:5">
      <c r="A598" s="6"/>
      <c r="B598" s="6"/>
      <c r="C598" s="6"/>
      <c r="D598" s="6"/>
      <c r="E598" s="6"/>
    </row>
    <row r="599" spans="1:5">
      <c r="A599" s="6"/>
      <c r="B599" s="6"/>
      <c r="C599" s="6"/>
      <c r="D599" s="6"/>
      <c r="E599" s="6"/>
    </row>
    <row r="600" spans="1:5">
      <c r="A600" s="6"/>
      <c r="B600" s="6"/>
      <c r="C600" s="6"/>
      <c r="D600" s="6"/>
      <c r="E600" s="6"/>
    </row>
    <row r="601" spans="1:5">
      <c r="A601" s="6"/>
      <c r="B601" s="6"/>
      <c r="C601" s="6"/>
      <c r="D601" s="6"/>
      <c r="E601" s="6"/>
    </row>
    <row r="602" spans="1:5">
      <c r="A602" s="6"/>
      <c r="B602" s="6"/>
      <c r="C602" s="6"/>
      <c r="D602" s="6"/>
      <c r="E602" s="6"/>
    </row>
    <row r="603" spans="1:5">
      <c r="A603" s="6"/>
      <c r="B603" s="6"/>
      <c r="C603" s="6"/>
      <c r="D603" s="6"/>
      <c r="E603" s="6"/>
    </row>
    <row r="604" spans="1:5">
      <c r="A604" s="6"/>
      <c r="B604" s="6"/>
      <c r="C604" s="6"/>
      <c r="D604" s="6"/>
      <c r="E604" s="6"/>
    </row>
    <row r="605" spans="1:5">
      <c r="A605" s="6"/>
      <c r="B605" s="6"/>
      <c r="C605" s="6"/>
      <c r="D605" s="6"/>
      <c r="E605" s="6"/>
    </row>
    <row r="606" spans="1:5">
      <c r="A606" s="6"/>
      <c r="B606" s="6"/>
      <c r="C606" s="6"/>
      <c r="D606" s="6"/>
      <c r="E606" s="6"/>
    </row>
    <row r="607" spans="1:5">
      <c r="A607" s="6"/>
      <c r="B607" s="6"/>
      <c r="C607" s="6"/>
      <c r="D607" s="6"/>
      <c r="E607" s="6"/>
    </row>
    <row r="608" spans="1:5">
      <c r="A608" s="6"/>
      <c r="B608" s="6"/>
      <c r="C608" s="6"/>
      <c r="D608" s="6"/>
      <c r="E608" s="6"/>
    </row>
    <row r="609" spans="1:5">
      <c r="A609" s="6"/>
      <c r="B609" s="6"/>
      <c r="C609" s="6"/>
      <c r="D609" s="6"/>
      <c r="E609" s="6"/>
    </row>
    <row r="610" spans="1:5">
      <c r="A610" s="6"/>
      <c r="B610" s="6"/>
      <c r="C610" s="6"/>
      <c r="D610" s="6"/>
      <c r="E610" s="6"/>
    </row>
    <row r="611" spans="1:5">
      <c r="A611" s="6"/>
      <c r="B611" s="6"/>
      <c r="C611" s="6"/>
      <c r="D611" s="6"/>
      <c r="E611" s="6"/>
    </row>
    <row r="612" spans="1:5">
      <c r="A612" s="6"/>
      <c r="B612" s="6"/>
      <c r="C612" s="6"/>
      <c r="D612" s="6"/>
      <c r="E612" s="6"/>
    </row>
    <row r="613" spans="1:5">
      <c r="A613" s="6"/>
      <c r="B613" s="6"/>
      <c r="C613" s="6"/>
      <c r="D613" s="6"/>
      <c r="E613" s="6"/>
    </row>
    <row r="614" spans="1:5">
      <c r="A614" s="6"/>
      <c r="B614" s="6"/>
      <c r="C614" s="6"/>
      <c r="D614" s="6"/>
      <c r="E614" s="6"/>
    </row>
    <row r="615" spans="1:5">
      <c r="A615" s="6"/>
      <c r="B615" s="6"/>
      <c r="C615" s="6"/>
      <c r="D615" s="6"/>
      <c r="E615" s="6"/>
    </row>
    <row r="616" spans="1:5">
      <c r="A616" s="6"/>
      <c r="B616" s="6"/>
      <c r="C616" s="6"/>
      <c r="D616" s="6"/>
      <c r="E616" s="6"/>
    </row>
    <row r="617" spans="1:5">
      <c r="A617" s="6"/>
      <c r="B617" s="6"/>
      <c r="C617" s="6"/>
      <c r="D617" s="6"/>
      <c r="E617" s="6"/>
    </row>
    <row r="618" spans="1:5">
      <c r="A618" s="6"/>
      <c r="B618" s="6"/>
      <c r="C618" s="6"/>
      <c r="D618" s="6"/>
      <c r="E618" s="6"/>
    </row>
    <row r="619" spans="1:5">
      <c r="A619" s="6"/>
      <c r="B619" s="6"/>
      <c r="C619" s="6"/>
      <c r="D619" s="6"/>
      <c r="E619" s="6"/>
    </row>
    <row r="620" spans="1:5">
      <c r="A620" s="6"/>
      <c r="B620" s="6"/>
      <c r="C620" s="6"/>
      <c r="D620" s="6"/>
      <c r="E620" s="6"/>
    </row>
    <row r="621" spans="1:5">
      <c r="A621" s="6"/>
      <c r="B621" s="6"/>
      <c r="C621" s="6"/>
      <c r="D621" s="6"/>
      <c r="E621" s="6"/>
    </row>
    <row r="622" spans="1:5">
      <c r="A622" s="6"/>
      <c r="B622" s="6"/>
      <c r="C622" s="6"/>
      <c r="D622" s="6"/>
      <c r="E622" s="6"/>
    </row>
    <row r="623" spans="1:5">
      <c r="A623" s="6"/>
      <c r="B623" s="6"/>
      <c r="C623" s="6"/>
      <c r="D623" s="6"/>
      <c r="E623" s="6"/>
    </row>
    <row r="624" spans="1:5">
      <c r="A624" s="6"/>
      <c r="B624" s="6"/>
      <c r="C624" s="6"/>
      <c r="D624" s="6"/>
      <c r="E624" s="6"/>
    </row>
    <row r="625" spans="1:5">
      <c r="A625" s="6"/>
      <c r="B625" s="6"/>
      <c r="C625" s="6"/>
      <c r="D625" s="6"/>
      <c r="E625" s="6"/>
    </row>
    <row r="626" spans="1:5">
      <c r="A626" s="6"/>
      <c r="B626" s="6"/>
      <c r="C626" s="6"/>
      <c r="D626" s="6"/>
      <c r="E626" s="6"/>
    </row>
    <row r="627" spans="1:5">
      <c r="A627" s="6"/>
      <c r="B627" s="6"/>
      <c r="C627" s="6"/>
      <c r="D627" s="6"/>
      <c r="E627" s="6"/>
    </row>
    <row r="628" spans="1:5">
      <c r="A628" s="6"/>
      <c r="B628" s="6"/>
      <c r="C628" s="6"/>
      <c r="D628" s="6"/>
      <c r="E628" s="6"/>
    </row>
    <row r="629" spans="1:5">
      <c r="A629" s="6"/>
      <c r="B629" s="6"/>
      <c r="C629" s="6"/>
      <c r="D629" s="6"/>
      <c r="E629" s="6"/>
    </row>
    <row r="630" spans="1:5">
      <c r="A630" s="6"/>
      <c r="B630" s="6"/>
      <c r="C630" s="6"/>
      <c r="D630" s="6"/>
      <c r="E630" s="6"/>
    </row>
    <row r="631" spans="1:5">
      <c r="A631" s="6"/>
      <c r="B631" s="6"/>
      <c r="C631" s="6"/>
      <c r="D631" s="6"/>
      <c r="E631" s="6"/>
    </row>
    <row r="632" spans="1:5">
      <c r="A632" s="6"/>
      <c r="B632" s="6"/>
      <c r="C632" s="6"/>
      <c r="D632" s="6"/>
      <c r="E632" s="6"/>
    </row>
    <row r="633" spans="1:5">
      <c r="A633" s="6"/>
      <c r="B633" s="6"/>
      <c r="C633" s="6"/>
      <c r="D633" s="6"/>
      <c r="E633" s="6"/>
    </row>
    <row r="634" spans="1:5">
      <c r="A634" s="6"/>
      <c r="B634" s="6"/>
      <c r="C634" s="6"/>
      <c r="D634" s="6"/>
      <c r="E634" s="6"/>
    </row>
    <row r="635" spans="1:5">
      <c r="A635" s="6"/>
      <c r="B635" s="6"/>
      <c r="C635" s="6"/>
      <c r="D635" s="6"/>
      <c r="E635" s="6"/>
    </row>
    <row r="636" spans="1:5">
      <c r="A636" s="6"/>
      <c r="B636" s="6"/>
      <c r="C636" s="6"/>
      <c r="D636" s="6"/>
      <c r="E636" s="6"/>
    </row>
    <row r="637" spans="1:5">
      <c r="A637" s="6"/>
      <c r="B637" s="6"/>
      <c r="C637" s="6"/>
      <c r="D637" s="6"/>
      <c r="E637" s="6"/>
    </row>
    <row r="638" spans="1:5">
      <c r="A638" s="6"/>
      <c r="B638" s="6"/>
      <c r="C638" s="6"/>
      <c r="D638" s="6"/>
      <c r="E638" s="6"/>
    </row>
    <row r="639" spans="1:5">
      <c r="A639" s="6"/>
      <c r="B639" s="6"/>
      <c r="C639" s="6"/>
      <c r="D639" s="6"/>
      <c r="E639" s="6"/>
    </row>
    <row r="640" spans="1:5">
      <c r="A640" s="6"/>
      <c r="B640" s="6"/>
      <c r="C640" s="6"/>
      <c r="D640" s="6"/>
      <c r="E640" s="6"/>
    </row>
    <row r="641" spans="1:5">
      <c r="A641" s="6"/>
      <c r="B641" s="6"/>
      <c r="C641" s="6"/>
      <c r="D641" s="6"/>
      <c r="E641" s="6"/>
    </row>
    <row r="642" spans="1:5">
      <c r="A642" s="6"/>
      <c r="B642" s="6"/>
      <c r="C642" s="6"/>
      <c r="D642" s="6"/>
      <c r="E642" s="6"/>
    </row>
    <row r="643" spans="1:5">
      <c r="A643" s="6"/>
      <c r="B643" s="6"/>
      <c r="C643" s="6"/>
      <c r="D643" s="6"/>
      <c r="E643" s="6"/>
    </row>
    <row r="644" spans="1:5">
      <c r="A644" s="6"/>
      <c r="B644" s="6"/>
      <c r="C644" s="6"/>
      <c r="D644" s="6"/>
      <c r="E644" s="6"/>
    </row>
    <row r="645" spans="1:5">
      <c r="A645" s="6"/>
      <c r="B645" s="6"/>
      <c r="C645" s="6"/>
      <c r="D645" s="6"/>
      <c r="E645" s="6"/>
    </row>
    <row r="646" spans="1:5">
      <c r="A646" s="6"/>
      <c r="B646" s="6"/>
      <c r="C646" s="6"/>
      <c r="D646" s="6"/>
      <c r="E646" s="6"/>
    </row>
    <row r="647" spans="1:5">
      <c r="A647" s="6"/>
      <c r="B647" s="6"/>
      <c r="C647" s="6"/>
      <c r="D647" s="6"/>
      <c r="E647" s="6"/>
    </row>
    <row r="648" spans="1:5">
      <c r="A648" s="6"/>
      <c r="B648" s="6"/>
      <c r="C648" s="6"/>
      <c r="D648" s="6"/>
      <c r="E648" s="6"/>
    </row>
    <row r="649" spans="1:5">
      <c r="A649" s="6"/>
      <c r="B649" s="6"/>
      <c r="C649" s="6"/>
      <c r="D649" s="6"/>
      <c r="E649" s="6"/>
    </row>
    <row r="650" spans="1:5">
      <c r="A650" s="6"/>
      <c r="B650" s="6"/>
      <c r="C650" s="6"/>
      <c r="D650" s="6"/>
      <c r="E650" s="6"/>
    </row>
    <row r="651" spans="1:5">
      <c r="A651" s="6"/>
      <c r="B651" s="6"/>
      <c r="C651" s="6"/>
      <c r="D651" s="6"/>
      <c r="E651" s="6"/>
    </row>
    <row r="652" spans="1:5">
      <c r="A652" s="6"/>
      <c r="B652" s="6"/>
      <c r="C652" s="6"/>
      <c r="D652" s="6"/>
      <c r="E652" s="6"/>
    </row>
    <row r="653" spans="1:5">
      <c r="A653" s="6"/>
      <c r="B653" s="6"/>
      <c r="C653" s="6"/>
      <c r="D653" s="6"/>
      <c r="E653" s="6"/>
    </row>
    <row r="654" spans="1:5">
      <c r="A654" s="6"/>
      <c r="B654" s="6"/>
      <c r="C654" s="6"/>
      <c r="D654" s="6"/>
      <c r="E654" s="6"/>
    </row>
    <row r="655" spans="1:5">
      <c r="A655" s="6"/>
      <c r="B655" s="6"/>
      <c r="C655" s="6"/>
      <c r="D655" s="6"/>
      <c r="E655" s="6"/>
    </row>
    <row r="656" spans="1:5">
      <c r="A656" s="6"/>
      <c r="B656" s="6"/>
      <c r="C656" s="6"/>
      <c r="D656" s="6"/>
      <c r="E656" s="6"/>
    </row>
    <row r="657" spans="1:5">
      <c r="A657" s="6"/>
      <c r="B657" s="6"/>
      <c r="C657" s="6"/>
      <c r="D657" s="6"/>
      <c r="E657" s="6"/>
    </row>
    <row r="658" spans="1:5">
      <c r="A658" s="6"/>
      <c r="B658" s="6"/>
      <c r="C658" s="6"/>
      <c r="D658" s="6"/>
      <c r="E658" s="6"/>
    </row>
    <row r="659" spans="1:5">
      <c r="A659" s="6"/>
      <c r="B659" s="6"/>
      <c r="C659" s="6"/>
      <c r="D659" s="6"/>
      <c r="E659" s="6"/>
    </row>
    <row r="660" spans="1:5">
      <c r="A660" s="6"/>
      <c r="B660" s="6"/>
      <c r="C660" s="6"/>
      <c r="D660" s="6"/>
      <c r="E660" s="6"/>
    </row>
    <row r="661" spans="1:5">
      <c r="A661" s="6"/>
      <c r="B661" s="6"/>
      <c r="C661" s="6"/>
      <c r="D661" s="6"/>
      <c r="E661" s="6"/>
    </row>
    <row r="662" spans="1:5">
      <c r="A662" s="6"/>
      <c r="B662" s="6"/>
      <c r="C662" s="6"/>
      <c r="D662" s="6"/>
      <c r="E662" s="6"/>
    </row>
    <row r="663" spans="1:5">
      <c r="A663" s="6"/>
      <c r="B663" s="6"/>
      <c r="C663" s="6"/>
      <c r="D663" s="6"/>
      <c r="E663" s="6"/>
    </row>
    <row r="664" spans="1:5">
      <c r="A664" s="6"/>
      <c r="B664" s="6"/>
      <c r="C664" s="6"/>
      <c r="D664" s="6"/>
      <c r="E664" s="6"/>
    </row>
    <row r="665" spans="1:5">
      <c r="A665" s="6"/>
      <c r="B665" s="6"/>
      <c r="C665" s="6"/>
      <c r="D665" s="6"/>
      <c r="E665" s="6"/>
    </row>
    <row r="666" spans="1:5">
      <c r="A666" s="6"/>
      <c r="B666" s="6"/>
      <c r="C666" s="6"/>
      <c r="D666" s="6"/>
      <c r="E666" s="6"/>
    </row>
    <row r="667" spans="1:5">
      <c r="A667" s="6"/>
      <c r="B667" s="6"/>
      <c r="C667" s="6"/>
      <c r="D667" s="6"/>
      <c r="E667" s="6"/>
    </row>
    <row r="668" spans="1:5">
      <c r="A668" s="6"/>
      <c r="B668" s="6"/>
      <c r="C668" s="6"/>
      <c r="D668" s="6"/>
      <c r="E668" s="6"/>
    </row>
    <row r="669" spans="1:5">
      <c r="A669" s="6"/>
      <c r="B669" s="6"/>
      <c r="C669" s="6"/>
      <c r="D669" s="6"/>
      <c r="E669" s="6"/>
    </row>
    <row r="670" spans="1:5">
      <c r="A670" s="6"/>
      <c r="B670" s="6"/>
      <c r="C670" s="6"/>
      <c r="D670" s="6"/>
      <c r="E670" s="6"/>
    </row>
    <row r="671" spans="1:5">
      <c r="A671" s="6"/>
      <c r="B671" s="6"/>
      <c r="C671" s="6"/>
      <c r="D671" s="6"/>
      <c r="E671" s="6"/>
    </row>
    <row r="672" spans="1:5">
      <c r="A672" s="6"/>
      <c r="B672" s="6"/>
      <c r="C672" s="6"/>
      <c r="D672" s="6"/>
      <c r="E672" s="6"/>
    </row>
    <row r="673" spans="1:5">
      <c r="A673" s="6"/>
      <c r="B673" s="6"/>
      <c r="C673" s="6"/>
      <c r="D673" s="6"/>
      <c r="E673" s="6"/>
    </row>
    <row r="674" spans="1:5">
      <c r="A674" s="6"/>
      <c r="B674" s="6"/>
      <c r="C674" s="6"/>
      <c r="D674" s="6"/>
      <c r="E674" s="6"/>
    </row>
    <row r="675" spans="1:5">
      <c r="A675" s="6"/>
      <c r="B675" s="6"/>
      <c r="C675" s="6"/>
      <c r="D675" s="6"/>
      <c r="E675" s="6"/>
    </row>
    <row r="676" spans="1:5">
      <c r="A676" s="6"/>
      <c r="B676" s="6"/>
      <c r="C676" s="6"/>
      <c r="D676" s="6"/>
      <c r="E676" s="6"/>
    </row>
    <row r="677" spans="1:5">
      <c r="A677" s="6"/>
      <c r="B677" s="6"/>
      <c r="C677" s="6"/>
      <c r="D677" s="6"/>
      <c r="E677" s="6"/>
    </row>
    <row r="678" spans="1:5">
      <c r="A678" s="6"/>
      <c r="B678" s="6"/>
      <c r="C678" s="6"/>
      <c r="D678" s="6"/>
      <c r="E678" s="6"/>
    </row>
    <row r="679" spans="1:5">
      <c r="A679" s="6"/>
      <c r="B679" s="6"/>
      <c r="C679" s="6"/>
      <c r="D679" s="6"/>
      <c r="E679" s="6"/>
    </row>
    <row r="680" spans="1:5">
      <c r="A680" s="6"/>
      <c r="B680" s="6"/>
      <c r="C680" s="6"/>
      <c r="D680" s="6"/>
      <c r="E680" s="6"/>
    </row>
    <row r="681" spans="1:5">
      <c r="A681" s="6"/>
      <c r="B681" s="6"/>
      <c r="C681" s="6"/>
      <c r="D681" s="6"/>
      <c r="E681" s="6"/>
    </row>
    <row r="682" spans="1:5">
      <c r="A682" s="6"/>
      <c r="B682" s="6"/>
      <c r="C682" s="6"/>
      <c r="D682" s="6"/>
      <c r="E682" s="6"/>
    </row>
    <row r="683" spans="1:5">
      <c r="A683" s="6"/>
      <c r="B683" s="6"/>
      <c r="C683" s="6"/>
      <c r="D683" s="6"/>
      <c r="E683" s="6"/>
    </row>
    <row r="684" spans="1:5">
      <c r="A684" s="6"/>
      <c r="B684" s="6"/>
      <c r="C684" s="6"/>
      <c r="D684" s="6"/>
      <c r="E684" s="6"/>
    </row>
    <row r="685" spans="1:5">
      <c r="A685" s="6"/>
      <c r="B685" s="6"/>
      <c r="C685" s="6"/>
      <c r="D685" s="6"/>
      <c r="E685" s="6"/>
    </row>
    <row r="686" spans="1:5">
      <c r="A686" s="6"/>
      <c r="B686" s="6"/>
      <c r="C686" s="6"/>
      <c r="D686" s="6"/>
      <c r="E686" s="6"/>
    </row>
    <row r="687" spans="1:5">
      <c r="A687" s="6"/>
      <c r="B687" s="6"/>
      <c r="C687" s="6"/>
      <c r="D687" s="6"/>
      <c r="E687" s="6"/>
    </row>
    <row r="688" spans="1:5">
      <c r="A688" s="6"/>
      <c r="B688" s="6"/>
      <c r="C688" s="6"/>
      <c r="D688" s="6"/>
      <c r="E688" s="6"/>
    </row>
    <row r="689" spans="1:5">
      <c r="A689" s="6"/>
      <c r="B689" s="6"/>
      <c r="C689" s="6"/>
      <c r="D689" s="6"/>
      <c r="E689" s="6"/>
    </row>
    <row r="690" spans="1:5">
      <c r="A690" s="6"/>
      <c r="B690" s="6"/>
      <c r="C690" s="6"/>
      <c r="D690" s="6"/>
      <c r="E690" s="6"/>
    </row>
    <row r="691" spans="1:5">
      <c r="A691" s="6"/>
      <c r="B691" s="6"/>
      <c r="C691" s="6"/>
      <c r="D691" s="6"/>
      <c r="E691" s="6"/>
    </row>
    <row r="692" spans="1:5">
      <c r="A692" s="6"/>
      <c r="B692" s="6"/>
      <c r="C692" s="6"/>
      <c r="D692" s="6"/>
      <c r="E692" s="6"/>
    </row>
    <row r="693" spans="1:5">
      <c r="A693" s="6"/>
      <c r="B693" s="6"/>
      <c r="C693" s="6"/>
      <c r="D693" s="6"/>
      <c r="E693" s="6"/>
    </row>
    <row r="694" spans="1:5">
      <c r="A694" s="6"/>
      <c r="B694" s="6"/>
      <c r="C694" s="6"/>
      <c r="D694" s="6"/>
      <c r="E694" s="6"/>
    </row>
    <row r="695" spans="1:5">
      <c r="A695" s="6"/>
      <c r="B695" s="6"/>
      <c r="C695" s="6"/>
      <c r="D695" s="6"/>
      <c r="E695" s="6"/>
    </row>
    <row r="696" spans="1:5">
      <c r="A696" s="6"/>
      <c r="B696" s="6"/>
      <c r="C696" s="6"/>
      <c r="D696" s="6"/>
      <c r="E696" s="6"/>
    </row>
    <row r="697" spans="1:5">
      <c r="A697" s="6"/>
      <c r="B697" s="6"/>
      <c r="C697" s="6"/>
      <c r="D697" s="6"/>
      <c r="E697" s="6"/>
    </row>
    <row r="698" spans="1:5">
      <c r="A698" s="6"/>
      <c r="B698" s="6"/>
      <c r="C698" s="6"/>
      <c r="D698" s="6"/>
      <c r="E698" s="6"/>
    </row>
    <row r="699" spans="1:5">
      <c r="A699" s="6"/>
      <c r="B699" s="6"/>
      <c r="C699" s="6"/>
      <c r="D699" s="6"/>
      <c r="E699" s="6"/>
    </row>
    <row r="700" spans="1:5">
      <c r="A700" s="6"/>
      <c r="B700" s="6"/>
      <c r="C700" s="6"/>
      <c r="D700" s="6"/>
      <c r="E700" s="6"/>
    </row>
    <row r="701" spans="1:5">
      <c r="A701" s="6"/>
      <c r="B701" s="6"/>
      <c r="C701" s="6"/>
      <c r="D701" s="6"/>
      <c r="E701" s="6"/>
    </row>
    <row r="702" spans="1:5">
      <c r="A702" s="6"/>
      <c r="B702" s="6"/>
      <c r="C702" s="6"/>
      <c r="D702" s="6"/>
      <c r="E702" s="6"/>
    </row>
    <row r="703" spans="1:5">
      <c r="A703" s="6"/>
      <c r="B703" s="6"/>
      <c r="C703" s="6"/>
      <c r="D703" s="6"/>
      <c r="E703" s="6"/>
    </row>
    <row r="704" spans="1:5">
      <c r="A704" s="6"/>
      <c r="B704" s="6"/>
      <c r="C704" s="6"/>
      <c r="D704" s="6"/>
      <c r="E704" s="6"/>
    </row>
    <row r="705" spans="1:5">
      <c r="A705" s="6"/>
      <c r="B705" s="6"/>
      <c r="C705" s="6"/>
      <c r="D705" s="6"/>
      <c r="E705" s="6"/>
    </row>
    <row r="706" spans="1:5">
      <c r="A706" s="6"/>
      <c r="B706" s="6"/>
      <c r="C706" s="6"/>
      <c r="D706" s="6"/>
      <c r="E706" s="6"/>
    </row>
    <row r="707" spans="1:5">
      <c r="A707" s="6"/>
      <c r="B707" s="6"/>
      <c r="C707" s="6"/>
      <c r="D707" s="6"/>
      <c r="E707" s="6"/>
    </row>
    <row r="708" spans="1:5">
      <c r="A708" s="6"/>
      <c r="B708" s="6"/>
      <c r="C708" s="6"/>
      <c r="D708" s="6"/>
      <c r="E708" s="6"/>
    </row>
    <row r="709" spans="1:5">
      <c r="A709" s="6"/>
      <c r="B709" s="6"/>
      <c r="C709" s="6"/>
      <c r="D709" s="6"/>
      <c r="E709" s="6"/>
    </row>
    <row r="710" spans="1:5">
      <c r="A710" s="6"/>
      <c r="B710" s="6"/>
      <c r="C710" s="6"/>
      <c r="D710" s="6"/>
      <c r="E710" s="6"/>
    </row>
    <row r="711" spans="1:5">
      <c r="A711" s="6"/>
      <c r="B711" s="6"/>
      <c r="C711" s="6"/>
      <c r="D711" s="6"/>
      <c r="E711" s="6"/>
    </row>
    <row r="712" spans="1:5">
      <c r="A712" s="6"/>
      <c r="B712" s="6"/>
      <c r="C712" s="6"/>
      <c r="D712" s="6"/>
      <c r="E712" s="6"/>
    </row>
    <row r="713" spans="1:5">
      <c r="A713" s="6"/>
      <c r="B713" s="6"/>
      <c r="C713" s="6"/>
      <c r="D713" s="6"/>
      <c r="E713" s="6"/>
    </row>
    <row r="714" spans="1:5">
      <c r="A714" s="6"/>
      <c r="B714" s="6"/>
      <c r="C714" s="6"/>
      <c r="D714" s="6"/>
      <c r="E714" s="6"/>
    </row>
    <row r="715" spans="1:5">
      <c r="A715" s="6"/>
      <c r="B715" s="6"/>
      <c r="C715" s="6"/>
      <c r="D715" s="6"/>
      <c r="E715" s="6"/>
    </row>
    <row r="716" spans="1:5">
      <c r="A716" s="6"/>
      <c r="B716" s="6"/>
      <c r="C716" s="6"/>
      <c r="D716" s="6"/>
      <c r="E716" s="6"/>
    </row>
    <row r="717" spans="1:5">
      <c r="A717" s="6"/>
      <c r="B717" s="6"/>
      <c r="C717" s="6"/>
      <c r="D717" s="6"/>
      <c r="E717" s="6"/>
    </row>
    <row r="718" spans="1:5">
      <c r="A718" s="6"/>
      <c r="B718" s="6"/>
      <c r="C718" s="6"/>
      <c r="D718" s="6"/>
      <c r="E718" s="6"/>
    </row>
    <row r="719" spans="1:5">
      <c r="A719" s="6"/>
      <c r="B719" s="6"/>
      <c r="C719" s="6"/>
      <c r="D719" s="6"/>
      <c r="E719" s="6"/>
    </row>
    <row r="720" spans="1:5">
      <c r="A720" s="6"/>
      <c r="B720" s="6"/>
      <c r="C720" s="6"/>
      <c r="D720" s="6"/>
      <c r="E720" s="6"/>
    </row>
    <row r="721" spans="1:5">
      <c r="A721" s="6"/>
      <c r="B721" s="6"/>
      <c r="C721" s="6"/>
      <c r="D721" s="6"/>
      <c r="E721" s="6"/>
    </row>
    <row r="722" spans="1:5">
      <c r="A722" s="6"/>
      <c r="B722" s="6"/>
      <c r="C722" s="6"/>
      <c r="D722" s="6"/>
      <c r="E722" s="6"/>
    </row>
    <row r="723" spans="1:5">
      <c r="A723" s="6"/>
      <c r="B723" s="6"/>
      <c r="C723" s="6"/>
      <c r="D723" s="6"/>
      <c r="E723" s="6"/>
    </row>
    <row r="724" spans="1:5">
      <c r="A724" s="6"/>
      <c r="B724" s="6"/>
      <c r="C724" s="6"/>
      <c r="D724" s="6"/>
      <c r="E724" s="6"/>
    </row>
    <row r="725" spans="1:5">
      <c r="A725" s="6"/>
      <c r="B725" s="6"/>
      <c r="C725" s="6"/>
      <c r="D725" s="6"/>
      <c r="E725" s="6"/>
    </row>
    <row r="726" spans="1:5">
      <c r="A726" s="6"/>
      <c r="B726" s="6"/>
      <c r="C726" s="6"/>
      <c r="D726" s="6"/>
      <c r="E726" s="6"/>
    </row>
    <row r="727" spans="1:5">
      <c r="A727" s="6"/>
      <c r="B727" s="6"/>
      <c r="C727" s="6"/>
      <c r="D727" s="6"/>
      <c r="E727" s="6"/>
    </row>
    <row r="728" spans="1:5">
      <c r="A728" s="6"/>
      <c r="B728" s="6"/>
      <c r="C728" s="6"/>
      <c r="D728" s="6"/>
      <c r="E728" s="6"/>
    </row>
    <row r="729" spans="1:5">
      <c r="A729" s="6"/>
      <c r="B729" s="6"/>
      <c r="C729" s="6"/>
      <c r="D729" s="6"/>
      <c r="E729" s="6"/>
    </row>
    <row r="730" spans="1:5">
      <c r="A730" s="6"/>
      <c r="B730" s="6"/>
      <c r="C730" s="6"/>
      <c r="D730" s="6"/>
      <c r="E730" s="6"/>
    </row>
    <row r="731" spans="1:5">
      <c r="A731" s="6"/>
      <c r="B731" s="6"/>
      <c r="C731" s="6"/>
      <c r="D731" s="6"/>
      <c r="E731" s="6"/>
    </row>
    <row r="732" spans="1:5">
      <c r="A732" s="6"/>
      <c r="B732" s="6"/>
      <c r="C732" s="6"/>
      <c r="D732" s="6"/>
      <c r="E732" s="6"/>
    </row>
    <row r="733" spans="1:5">
      <c r="A733" s="6"/>
      <c r="B733" s="6"/>
      <c r="C733" s="6"/>
      <c r="D733" s="6"/>
      <c r="E733" s="6"/>
    </row>
    <row r="734" spans="1:5">
      <c r="A734" s="6"/>
      <c r="B734" s="6"/>
      <c r="C734" s="6"/>
      <c r="D734" s="6"/>
      <c r="E734" s="6"/>
    </row>
    <row r="735" spans="1:5">
      <c r="A735" s="6"/>
      <c r="B735" s="6"/>
      <c r="C735" s="6"/>
      <c r="D735" s="6"/>
      <c r="E735" s="6"/>
    </row>
    <row r="736" spans="1:5">
      <c r="A736" s="6"/>
      <c r="B736" s="6"/>
      <c r="C736" s="6"/>
      <c r="D736" s="6"/>
      <c r="E736" s="6"/>
    </row>
    <row r="737" spans="1:5">
      <c r="A737" s="6"/>
      <c r="B737" s="6"/>
      <c r="C737" s="6"/>
      <c r="D737" s="6"/>
      <c r="E737" s="6"/>
    </row>
    <row r="738" spans="1:5">
      <c r="A738" s="6"/>
      <c r="B738" s="6"/>
      <c r="C738" s="6"/>
      <c r="D738" s="6"/>
      <c r="E738" s="6"/>
    </row>
    <row r="739" spans="1:5">
      <c r="A739" s="6"/>
      <c r="B739" s="6"/>
      <c r="C739" s="6"/>
      <c r="D739" s="6"/>
      <c r="E739" s="6"/>
    </row>
    <row r="740" spans="1:5">
      <c r="A740" s="6"/>
      <c r="B740" s="6"/>
      <c r="C740" s="6"/>
      <c r="D740" s="6"/>
      <c r="E740" s="6"/>
    </row>
    <row r="741" spans="1:5">
      <c r="A741" s="6"/>
      <c r="B741" s="6"/>
      <c r="C741" s="6"/>
      <c r="D741" s="6"/>
      <c r="E741" s="6"/>
    </row>
    <row r="742" spans="1:5">
      <c r="A742" s="6"/>
      <c r="B742" s="6"/>
      <c r="C742" s="6"/>
      <c r="D742" s="6"/>
      <c r="E742" s="6"/>
    </row>
    <row r="743" spans="1:5">
      <c r="A743" s="6"/>
      <c r="B743" s="6"/>
      <c r="C743" s="6"/>
      <c r="D743" s="6"/>
      <c r="E743" s="6"/>
    </row>
    <row r="744" spans="1:5">
      <c r="A744" s="6"/>
      <c r="B744" s="6"/>
      <c r="C744" s="6"/>
      <c r="D744" s="6"/>
      <c r="E744" s="6"/>
    </row>
    <row r="745" spans="1:5">
      <c r="A745" s="6"/>
      <c r="B745" s="6"/>
      <c r="C745" s="6"/>
      <c r="D745" s="6"/>
      <c r="E745" s="6"/>
    </row>
    <row r="746" spans="1:5">
      <c r="A746" s="6"/>
      <c r="B746" s="6"/>
      <c r="C746" s="6"/>
      <c r="D746" s="6"/>
      <c r="E746" s="6"/>
    </row>
    <row r="747" spans="1:5">
      <c r="A747" s="6"/>
      <c r="B747" s="6"/>
      <c r="C747" s="6"/>
      <c r="D747" s="6"/>
      <c r="E747" s="6"/>
    </row>
    <row r="748" spans="1:5">
      <c r="A748" s="6"/>
      <c r="B748" s="6"/>
      <c r="C748" s="6"/>
      <c r="D748" s="6"/>
      <c r="E748" s="6"/>
    </row>
    <row r="749" spans="1:5">
      <c r="A749" s="6"/>
      <c r="B749" s="6"/>
      <c r="C749" s="6"/>
      <c r="D749" s="6"/>
      <c r="E749" s="6"/>
    </row>
    <row r="750" spans="1:5">
      <c r="A750" s="6"/>
      <c r="B750" s="6"/>
      <c r="C750" s="6"/>
      <c r="D750" s="6"/>
      <c r="E750" s="6"/>
    </row>
    <row r="751" spans="1:5">
      <c r="A751" s="6"/>
      <c r="B751" s="6"/>
      <c r="C751" s="6"/>
      <c r="D751" s="6"/>
      <c r="E751" s="6"/>
    </row>
    <row r="752" spans="1:5">
      <c r="A752" s="6"/>
      <c r="B752" s="6"/>
      <c r="C752" s="6"/>
      <c r="D752" s="6"/>
      <c r="E752" s="6"/>
    </row>
    <row r="753" spans="1:5">
      <c r="A753" s="6"/>
      <c r="B753" s="6"/>
      <c r="C753" s="6"/>
      <c r="D753" s="6"/>
      <c r="E753" s="6"/>
    </row>
    <row r="754" spans="1:5">
      <c r="A754" s="6"/>
      <c r="B754" s="6"/>
      <c r="C754" s="6"/>
      <c r="D754" s="6"/>
      <c r="E754" s="6"/>
    </row>
    <row r="755" spans="1:5">
      <c r="A755" s="6"/>
      <c r="B755" s="6"/>
      <c r="C755" s="6"/>
      <c r="D755" s="6"/>
      <c r="E755" s="6"/>
    </row>
    <row r="756" spans="1:5">
      <c r="A756" s="6"/>
      <c r="B756" s="6"/>
      <c r="C756" s="6"/>
      <c r="D756" s="6"/>
      <c r="E756" s="6"/>
    </row>
    <row r="757" spans="1:5">
      <c r="A757" s="6"/>
      <c r="B757" s="6"/>
      <c r="C757" s="6"/>
      <c r="D757" s="6"/>
      <c r="E757" s="6"/>
    </row>
    <row r="758" spans="1:5">
      <c r="A758" s="6"/>
      <c r="B758" s="6"/>
      <c r="C758" s="6"/>
      <c r="D758" s="6"/>
      <c r="E758" s="6"/>
    </row>
    <row r="759" spans="1:5">
      <c r="A759" s="6"/>
      <c r="B759" s="6"/>
      <c r="C759" s="6"/>
      <c r="D759" s="6"/>
      <c r="E759" s="6"/>
    </row>
    <row r="760" spans="1:5">
      <c r="A760" s="6"/>
      <c r="B760" s="6"/>
      <c r="C760" s="6"/>
      <c r="D760" s="6"/>
      <c r="E760" s="6"/>
    </row>
    <row r="761" spans="1:5">
      <c r="A761" s="6"/>
      <c r="B761" s="6"/>
      <c r="C761" s="6"/>
      <c r="D761" s="6"/>
      <c r="E761" s="6"/>
    </row>
    <row r="762" spans="1:5">
      <c r="A762" s="6"/>
      <c r="B762" s="6"/>
      <c r="C762" s="6"/>
      <c r="D762" s="6"/>
      <c r="E762" s="6"/>
    </row>
    <row r="763" spans="1:5">
      <c r="A763" s="6"/>
      <c r="B763" s="6"/>
      <c r="C763" s="6"/>
      <c r="D763" s="6"/>
      <c r="E763" s="6"/>
    </row>
    <row r="764" spans="1:5">
      <c r="A764" s="6"/>
      <c r="B764" s="6"/>
      <c r="C764" s="6"/>
      <c r="D764" s="6"/>
      <c r="E764" s="6"/>
    </row>
    <row r="765" spans="1:5">
      <c r="A765" s="6"/>
      <c r="B765" s="6"/>
      <c r="C765" s="6"/>
      <c r="D765" s="6"/>
      <c r="E765" s="6"/>
    </row>
    <row r="766" spans="1:5">
      <c r="A766" s="6"/>
      <c r="B766" s="6"/>
      <c r="C766" s="6"/>
      <c r="D766" s="6"/>
      <c r="E766" s="6"/>
    </row>
    <row r="767" spans="1:5">
      <c r="A767" s="6"/>
      <c r="B767" s="6"/>
      <c r="C767" s="6"/>
      <c r="D767" s="6"/>
      <c r="E767" s="6"/>
    </row>
    <row r="768" spans="1:5">
      <c r="A768" s="6"/>
      <c r="B768" s="6"/>
      <c r="C768" s="6"/>
      <c r="D768" s="6"/>
      <c r="E768" s="6"/>
    </row>
    <row r="769" spans="1:5">
      <c r="A769" s="6"/>
      <c r="B769" s="6"/>
      <c r="C769" s="6"/>
      <c r="D769" s="6"/>
      <c r="E769" s="6"/>
    </row>
    <row r="770" spans="1:5">
      <c r="A770" s="6"/>
      <c r="B770" s="6"/>
      <c r="C770" s="6"/>
      <c r="D770" s="6"/>
      <c r="E770" s="6"/>
    </row>
    <row r="771" spans="1:5">
      <c r="A771" s="6"/>
      <c r="B771" s="6"/>
      <c r="C771" s="6"/>
      <c r="D771" s="6"/>
      <c r="E771" s="6"/>
    </row>
    <row r="772" spans="1:5">
      <c r="A772" s="6"/>
      <c r="B772" s="6"/>
      <c r="C772" s="6"/>
      <c r="D772" s="6"/>
      <c r="E772" s="6"/>
    </row>
    <row r="773" spans="1:5">
      <c r="A773" s="6"/>
      <c r="B773" s="6"/>
      <c r="C773" s="6"/>
      <c r="D773" s="6"/>
      <c r="E773" s="6"/>
    </row>
    <row r="774" spans="1:5">
      <c r="A774" s="6"/>
      <c r="B774" s="6"/>
      <c r="C774" s="6"/>
      <c r="D774" s="6"/>
      <c r="E774" s="6"/>
    </row>
    <row r="775" spans="1:5">
      <c r="A775" s="6"/>
      <c r="B775" s="6"/>
      <c r="C775" s="6"/>
      <c r="D775" s="6"/>
      <c r="E775" s="6"/>
    </row>
    <row r="776" spans="1:5">
      <c r="A776" s="6"/>
      <c r="B776" s="6"/>
      <c r="C776" s="6"/>
      <c r="D776" s="6"/>
      <c r="E776" s="6"/>
    </row>
    <row r="777" spans="1:5">
      <c r="A777" s="6"/>
      <c r="B777" s="6"/>
      <c r="C777" s="6"/>
      <c r="D777" s="6"/>
      <c r="E777" s="6"/>
    </row>
    <row r="778" spans="1:5">
      <c r="A778" s="6"/>
      <c r="B778" s="6"/>
      <c r="C778" s="6"/>
      <c r="D778" s="6"/>
      <c r="E778" s="6"/>
    </row>
    <row r="779" spans="1:5">
      <c r="A779" s="6"/>
      <c r="B779" s="6"/>
      <c r="C779" s="6"/>
      <c r="D779" s="6"/>
      <c r="E779" s="6"/>
    </row>
    <row r="780" spans="1:5">
      <c r="A780" s="6"/>
      <c r="B780" s="6"/>
      <c r="C780" s="6"/>
      <c r="D780" s="6"/>
      <c r="E780" s="6"/>
    </row>
    <row r="781" spans="1:5">
      <c r="A781" s="6"/>
      <c r="B781" s="6"/>
      <c r="C781" s="6"/>
      <c r="D781" s="6"/>
      <c r="E781" s="6"/>
    </row>
    <row r="782" spans="1:5">
      <c r="A782" s="6"/>
      <c r="B782" s="6"/>
      <c r="C782" s="6"/>
      <c r="D782" s="6"/>
      <c r="E782" s="6"/>
    </row>
    <row r="783" spans="1:5">
      <c r="A783" s="6"/>
      <c r="B783" s="6"/>
      <c r="C783" s="6"/>
      <c r="D783" s="6"/>
      <c r="E783" s="6"/>
    </row>
    <row r="784" spans="1:5">
      <c r="A784" s="6"/>
      <c r="B784" s="6"/>
      <c r="C784" s="6"/>
      <c r="D784" s="6"/>
      <c r="E784" s="6"/>
    </row>
    <row r="785" spans="1:5">
      <c r="A785" s="6"/>
      <c r="B785" s="6"/>
      <c r="C785" s="6"/>
      <c r="D785" s="6"/>
      <c r="E785" s="6"/>
    </row>
    <row r="786" spans="1:5">
      <c r="A786" s="6"/>
      <c r="B786" s="6"/>
      <c r="C786" s="6"/>
      <c r="D786" s="6"/>
      <c r="E786" s="6"/>
    </row>
    <row r="787" spans="1:5">
      <c r="A787" s="6"/>
      <c r="B787" s="6"/>
      <c r="C787" s="6"/>
      <c r="D787" s="6"/>
      <c r="E787" s="6"/>
    </row>
    <row r="788" spans="1:5">
      <c r="A788" s="6"/>
      <c r="B788" s="6"/>
      <c r="C788" s="6"/>
      <c r="D788" s="6"/>
      <c r="E788" s="6"/>
    </row>
    <row r="789" spans="1:5">
      <c r="A789" s="6"/>
      <c r="B789" s="6"/>
      <c r="C789" s="6"/>
      <c r="D789" s="6"/>
      <c r="E789" s="6"/>
    </row>
    <row r="790" spans="1:5">
      <c r="A790" s="6"/>
      <c r="B790" s="6"/>
      <c r="C790" s="6"/>
      <c r="D790" s="6"/>
      <c r="E790" s="6"/>
    </row>
    <row r="791" spans="1:5">
      <c r="A791" s="6"/>
      <c r="B791" s="6"/>
      <c r="C791" s="6"/>
      <c r="D791" s="6"/>
      <c r="E791" s="6"/>
    </row>
    <row r="792" spans="1:5">
      <c r="A792" s="6"/>
      <c r="B792" s="6"/>
      <c r="C792" s="6"/>
      <c r="D792" s="6"/>
      <c r="E792" s="6"/>
    </row>
    <row r="793" spans="1:5">
      <c r="A793" s="6"/>
      <c r="B793" s="6"/>
      <c r="C793" s="6"/>
      <c r="D793" s="6"/>
      <c r="E793" s="6"/>
    </row>
    <row r="794" spans="1:5">
      <c r="A794" s="6"/>
      <c r="B794" s="6"/>
      <c r="C794" s="6"/>
      <c r="D794" s="6"/>
      <c r="E794" s="6"/>
    </row>
    <row r="795" spans="1:5">
      <c r="A795" s="6"/>
      <c r="B795" s="6"/>
      <c r="C795" s="6"/>
      <c r="D795" s="6"/>
      <c r="E795" s="6"/>
    </row>
    <row r="796" spans="1:5">
      <c r="A796" s="6"/>
      <c r="B796" s="6"/>
      <c r="C796" s="6"/>
      <c r="D796" s="6"/>
      <c r="E796" s="6"/>
    </row>
    <row r="797" spans="1:5">
      <c r="A797" s="6"/>
      <c r="B797" s="6"/>
      <c r="C797" s="6"/>
      <c r="D797" s="6"/>
      <c r="E797" s="6"/>
    </row>
    <row r="798" spans="1:5">
      <c r="A798" s="6"/>
      <c r="B798" s="6"/>
      <c r="C798" s="6"/>
      <c r="D798" s="6"/>
      <c r="E798" s="6"/>
    </row>
    <row r="799" spans="1:5">
      <c r="A799" s="6"/>
      <c r="B799" s="6"/>
      <c r="C799" s="6"/>
      <c r="D799" s="6"/>
      <c r="E799" s="6"/>
    </row>
    <row r="800" spans="1:5">
      <c r="A800" s="6"/>
      <c r="B800" s="6"/>
      <c r="C800" s="6"/>
      <c r="D800" s="6"/>
      <c r="E800" s="6"/>
    </row>
    <row r="801" spans="1:5">
      <c r="A801" s="6"/>
      <c r="B801" s="6"/>
      <c r="C801" s="6"/>
      <c r="D801" s="6"/>
      <c r="E801" s="6"/>
    </row>
    <row r="802" spans="1:5">
      <c r="A802" s="6"/>
      <c r="B802" s="6"/>
      <c r="C802" s="6"/>
      <c r="D802" s="6"/>
      <c r="E802" s="6"/>
    </row>
    <row r="803" spans="1:5">
      <c r="A803" s="6"/>
      <c r="B803" s="6"/>
      <c r="C803" s="6"/>
      <c r="D803" s="6"/>
      <c r="E803" s="6"/>
    </row>
    <row r="804" spans="1:5">
      <c r="A804" s="6"/>
      <c r="B804" s="6"/>
      <c r="C804" s="6"/>
      <c r="D804" s="6"/>
      <c r="E804" s="6"/>
    </row>
    <row r="805" spans="1:5">
      <c r="A805" s="6"/>
      <c r="B805" s="6"/>
      <c r="C805" s="6"/>
      <c r="D805" s="6"/>
      <c r="E805" s="6"/>
    </row>
    <row r="806" spans="1:5">
      <c r="A806" s="6"/>
      <c r="B806" s="6"/>
      <c r="C806" s="6"/>
      <c r="D806" s="6"/>
      <c r="E806" s="6"/>
    </row>
    <row r="807" spans="1:5">
      <c r="A807" s="6"/>
      <c r="B807" s="6"/>
      <c r="C807" s="6"/>
      <c r="D807" s="6"/>
      <c r="E807" s="6"/>
    </row>
    <row r="808" spans="1:5">
      <c r="A808" s="6"/>
      <c r="B808" s="6"/>
      <c r="C808" s="6"/>
      <c r="D808" s="6"/>
      <c r="E808" s="6"/>
    </row>
    <row r="809" spans="1:5">
      <c r="A809" s="6"/>
      <c r="B809" s="6"/>
      <c r="C809" s="6"/>
      <c r="D809" s="6"/>
      <c r="E809" s="6"/>
    </row>
    <row r="810" spans="1:5">
      <c r="A810" s="6"/>
      <c r="B810" s="6"/>
      <c r="C810" s="6"/>
      <c r="D810" s="6"/>
      <c r="E810" s="6"/>
    </row>
    <row r="811" spans="1:5">
      <c r="A811" s="6"/>
      <c r="B811" s="6"/>
      <c r="C811" s="6"/>
      <c r="D811" s="6"/>
      <c r="E811" s="6"/>
    </row>
    <row r="812" spans="1:5">
      <c r="A812" s="6"/>
      <c r="B812" s="6"/>
      <c r="C812" s="6"/>
      <c r="D812" s="6"/>
      <c r="E812" s="6"/>
    </row>
    <row r="813" spans="1:5">
      <c r="A813" s="6"/>
      <c r="B813" s="6"/>
      <c r="C813" s="6"/>
      <c r="D813" s="6"/>
      <c r="E813" s="6"/>
    </row>
    <row r="814" spans="1:5">
      <c r="A814" s="6"/>
      <c r="B814" s="6"/>
      <c r="C814" s="6"/>
      <c r="D814" s="6"/>
      <c r="E814" s="6"/>
    </row>
    <row r="815" spans="1:5">
      <c r="A815" s="6"/>
      <c r="B815" s="6"/>
      <c r="C815" s="6"/>
      <c r="D815" s="6"/>
      <c r="E815" s="6"/>
    </row>
    <row r="816" spans="1:5">
      <c r="A816" s="6"/>
      <c r="B816" s="6"/>
      <c r="C816" s="6"/>
      <c r="D816" s="6"/>
      <c r="E816" s="6"/>
    </row>
    <row r="817" spans="1:5">
      <c r="A817" s="6"/>
      <c r="B817" s="6"/>
      <c r="C817" s="6"/>
      <c r="D817" s="6"/>
      <c r="E817" s="6"/>
    </row>
    <row r="818" spans="1:5">
      <c r="A818" s="6"/>
      <c r="B818" s="6"/>
      <c r="C818" s="6"/>
      <c r="D818" s="6"/>
      <c r="E818" s="6"/>
    </row>
    <row r="819" spans="1:5">
      <c r="A819" s="6"/>
      <c r="B819" s="6"/>
      <c r="C819" s="6"/>
      <c r="D819" s="6"/>
      <c r="E819" s="6"/>
    </row>
    <row r="820" spans="1:5">
      <c r="A820" s="6"/>
      <c r="B820" s="6"/>
      <c r="C820" s="6"/>
      <c r="D820" s="6"/>
      <c r="E820" s="6"/>
    </row>
    <row r="821" spans="1:5">
      <c r="A821" s="6"/>
      <c r="B821" s="6"/>
      <c r="C821" s="6"/>
      <c r="D821" s="6"/>
      <c r="E821" s="6"/>
    </row>
    <row r="822" spans="1:5">
      <c r="A822" s="6"/>
      <c r="B822" s="6"/>
      <c r="C822" s="6"/>
      <c r="D822" s="6"/>
      <c r="E822" s="6"/>
    </row>
    <row r="823" spans="1:5">
      <c r="A823" s="6"/>
      <c r="B823" s="6"/>
      <c r="C823" s="6"/>
      <c r="D823" s="6"/>
      <c r="E823" s="6"/>
    </row>
    <row r="824" spans="1:5">
      <c r="A824" s="6"/>
      <c r="B824" s="6"/>
      <c r="C824" s="6"/>
      <c r="D824" s="6"/>
      <c r="E824" s="6"/>
    </row>
    <row r="825" spans="1:5">
      <c r="A825" s="6"/>
      <c r="B825" s="6"/>
      <c r="C825" s="6"/>
      <c r="D825" s="6"/>
      <c r="E825" s="6"/>
    </row>
    <row r="826" spans="1:5">
      <c r="A826" s="6"/>
      <c r="B826" s="6"/>
      <c r="C826" s="6"/>
      <c r="D826" s="6"/>
      <c r="E826" s="6"/>
    </row>
    <row r="827" spans="1:5">
      <c r="A827" s="6"/>
      <c r="B827" s="6"/>
      <c r="C827" s="6"/>
      <c r="D827" s="6"/>
      <c r="E827" s="6"/>
    </row>
    <row r="828" spans="1:5">
      <c r="A828" s="6"/>
      <c r="B828" s="6"/>
      <c r="C828" s="6"/>
      <c r="D828" s="6"/>
      <c r="E828" s="6"/>
    </row>
    <row r="829" spans="1:5">
      <c r="A829" s="6"/>
      <c r="B829" s="6"/>
      <c r="C829" s="6"/>
      <c r="D829" s="6"/>
      <c r="E829" s="6"/>
    </row>
    <row r="830" spans="1:5">
      <c r="A830" s="6"/>
      <c r="B830" s="6"/>
      <c r="C830" s="6"/>
      <c r="D830" s="6"/>
      <c r="E830" s="6"/>
    </row>
    <row r="831" spans="1:5">
      <c r="A831" s="6"/>
      <c r="B831" s="6"/>
      <c r="C831" s="6"/>
      <c r="D831" s="6"/>
      <c r="E831" s="6"/>
    </row>
    <row r="832" spans="1:5">
      <c r="A832" s="6"/>
      <c r="B832" s="6"/>
      <c r="C832" s="6"/>
      <c r="D832" s="6"/>
      <c r="E832" s="6"/>
    </row>
    <row r="833" spans="1:5">
      <c r="A833" s="6"/>
      <c r="B833" s="6"/>
      <c r="C833" s="6"/>
      <c r="D833" s="6"/>
      <c r="E833" s="6"/>
    </row>
    <row r="834" spans="1:5">
      <c r="A834" s="6"/>
      <c r="B834" s="6"/>
      <c r="C834" s="6"/>
      <c r="D834" s="6"/>
      <c r="E834" s="6"/>
    </row>
    <row r="835" spans="1:5">
      <c r="A835" s="6"/>
      <c r="B835" s="6"/>
      <c r="C835" s="6"/>
      <c r="D835" s="6"/>
      <c r="E835" s="6"/>
    </row>
    <row r="836" spans="1:5">
      <c r="A836" s="6"/>
      <c r="B836" s="6"/>
      <c r="C836" s="6"/>
      <c r="D836" s="6"/>
      <c r="E836" s="6"/>
    </row>
    <row r="837" spans="1:5">
      <c r="A837" s="6"/>
      <c r="B837" s="6"/>
      <c r="C837" s="6"/>
      <c r="D837" s="6"/>
      <c r="E837" s="6"/>
    </row>
    <row r="838" spans="1:5">
      <c r="A838" s="6"/>
      <c r="B838" s="6"/>
      <c r="C838" s="6"/>
      <c r="D838" s="6"/>
      <c r="E838" s="6"/>
    </row>
    <row r="839" spans="1:5">
      <c r="A839" s="6"/>
      <c r="B839" s="6"/>
      <c r="C839" s="6"/>
      <c r="D839" s="6"/>
      <c r="E839" s="6"/>
    </row>
    <row r="840" spans="1:5">
      <c r="A840" s="6"/>
      <c r="B840" s="6"/>
      <c r="C840" s="6"/>
      <c r="D840" s="6"/>
      <c r="E840" s="6"/>
    </row>
    <row r="841" spans="1:5">
      <c r="A841" s="6"/>
      <c r="B841" s="6"/>
      <c r="C841" s="6"/>
      <c r="D841" s="6"/>
      <c r="E841" s="6"/>
    </row>
    <row r="842" spans="1:5">
      <c r="A842" s="6"/>
      <c r="B842" s="6"/>
      <c r="C842" s="6"/>
      <c r="D842" s="6"/>
      <c r="E842" s="6"/>
    </row>
    <row r="843" spans="1:5">
      <c r="A843" s="6"/>
      <c r="B843" s="6"/>
      <c r="C843" s="6"/>
      <c r="D843" s="6"/>
      <c r="E843" s="6"/>
    </row>
    <row r="844" spans="1:5">
      <c r="A844" s="6"/>
      <c r="B844" s="6"/>
      <c r="C844" s="6"/>
      <c r="D844" s="6"/>
      <c r="E844" s="6"/>
    </row>
    <row r="845" spans="1:5">
      <c r="A845" s="6"/>
      <c r="B845" s="6"/>
      <c r="C845" s="6"/>
      <c r="D845" s="6"/>
      <c r="E845" s="6"/>
    </row>
    <row r="846" spans="1:5">
      <c r="A846" s="6"/>
      <c r="B846" s="6"/>
      <c r="C846" s="6"/>
      <c r="D846" s="6"/>
      <c r="E846" s="6"/>
    </row>
    <row r="847" spans="1:5">
      <c r="A847" s="6"/>
      <c r="B847" s="6"/>
      <c r="C847" s="6"/>
      <c r="D847" s="6"/>
      <c r="E847" s="6"/>
    </row>
    <row r="848" spans="1:5">
      <c r="A848" s="6"/>
      <c r="B848" s="6"/>
      <c r="C848" s="6"/>
      <c r="D848" s="6"/>
      <c r="E848" s="6"/>
    </row>
    <row r="849" spans="1:5">
      <c r="A849" s="6"/>
      <c r="B849" s="6"/>
      <c r="C849" s="6"/>
      <c r="D849" s="6"/>
      <c r="E849" s="6"/>
    </row>
    <row r="850" spans="1:5">
      <c r="A850" s="6"/>
      <c r="B850" s="6"/>
      <c r="C850" s="6"/>
      <c r="D850" s="6"/>
      <c r="E850" s="6"/>
    </row>
    <row r="851" spans="1:5">
      <c r="A851" s="6"/>
      <c r="B851" s="6"/>
      <c r="C851" s="6"/>
      <c r="D851" s="6"/>
      <c r="E851" s="6"/>
    </row>
    <row r="852" spans="1:5">
      <c r="A852" s="6"/>
      <c r="B852" s="6"/>
      <c r="C852" s="6"/>
      <c r="D852" s="6"/>
      <c r="E852" s="6"/>
    </row>
    <row r="853" spans="1:5">
      <c r="A853" s="6"/>
      <c r="B853" s="6"/>
      <c r="C853" s="6"/>
      <c r="D853" s="6"/>
      <c r="E853" s="6"/>
    </row>
    <row r="854" spans="1:5">
      <c r="A854" s="6"/>
      <c r="B854" s="6"/>
      <c r="C854" s="6"/>
      <c r="D854" s="6"/>
      <c r="E854" s="6"/>
    </row>
    <row r="855" spans="1:5">
      <c r="A855" s="6"/>
      <c r="B855" s="6"/>
      <c r="C855" s="6"/>
      <c r="D855" s="6"/>
      <c r="E855" s="6"/>
    </row>
    <row r="856" spans="1:5">
      <c r="A856" s="6"/>
      <c r="B856" s="6"/>
      <c r="C856" s="6"/>
      <c r="D856" s="6"/>
      <c r="E856" s="6"/>
    </row>
    <row r="857" spans="1:5">
      <c r="A857" s="6"/>
      <c r="B857" s="6"/>
      <c r="C857" s="6"/>
      <c r="D857" s="6"/>
      <c r="E857" s="6"/>
    </row>
    <row r="858" spans="1:5">
      <c r="A858" s="6"/>
      <c r="B858" s="6"/>
      <c r="C858" s="6"/>
      <c r="D858" s="6"/>
      <c r="E858" s="6"/>
    </row>
    <row r="859" spans="1:5">
      <c r="A859" s="6"/>
      <c r="B859" s="6"/>
      <c r="C859" s="6"/>
      <c r="D859" s="6"/>
      <c r="E859" s="6"/>
    </row>
    <row r="860" spans="1:5">
      <c r="A860" s="6"/>
      <c r="B860" s="6"/>
      <c r="C860" s="6"/>
      <c r="D860" s="6"/>
      <c r="E860" s="6"/>
    </row>
    <row r="861" spans="1:5">
      <c r="A861" s="6"/>
      <c r="B861" s="6"/>
      <c r="C861" s="6"/>
      <c r="D861" s="6"/>
      <c r="E861" s="6"/>
    </row>
    <row r="862" spans="1:5">
      <c r="A862" s="6"/>
      <c r="B862" s="6"/>
      <c r="C862" s="6"/>
      <c r="D862" s="6"/>
      <c r="E862" s="6"/>
    </row>
    <row r="863" spans="1:5">
      <c r="A863" s="6"/>
      <c r="B863" s="6"/>
      <c r="C863" s="6"/>
      <c r="D863" s="6"/>
      <c r="E863" s="6"/>
    </row>
    <row r="864" spans="1:5">
      <c r="A864" s="6"/>
      <c r="B864" s="6"/>
      <c r="C864" s="6"/>
      <c r="D864" s="6"/>
      <c r="E864" s="6"/>
    </row>
    <row r="865" spans="1:5">
      <c r="A865" s="6"/>
      <c r="B865" s="6"/>
      <c r="C865" s="6"/>
      <c r="D865" s="6"/>
      <c r="E865" s="6"/>
    </row>
    <row r="866" spans="1:5">
      <c r="A866" s="6"/>
      <c r="B866" s="6"/>
      <c r="C866" s="6"/>
      <c r="D866" s="6"/>
      <c r="E866" s="6"/>
    </row>
    <row r="867" spans="1:5">
      <c r="A867" s="6"/>
      <c r="B867" s="6"/>
      <c r="C867" s="6"/>
      <c r="D867" s="6"/>
      <c r="E867" s="6"/>
    </row>
    <row r="868" spans="1:5">
      <c r="A868" s="6"/>
      <c r="B868" s="6"/>
      <c r="C868" s="6"/>
      <c r="D868" s="6"/>
      <c r="E868" s="6"/>
    </row>
    <row r="869" spans="1:5">
      <c r="A869" s="6"/>
      <c r="B869" s="6"/>
      <c r="C869" s="6"/>
      <c r="D869" s="6"/>
      <c r="E869" s="6"/>
    </row>
    <row r="870" spans="1:5">
      <c r="A870" s="6"/>
      <c r="B870" s="6"/>
      <c r="C870" s="6"/>
      <c r="D870" s="6"/>
      <c r="E870" s="6"/>
    </row>
    <row r="871" spans="1:5">
      <c r="A871" s="6"/>
      <c r="B871" s="6"/>
      <c r="C871" s="6"/>
      <c r="D871" s="6"/>
      <c r="E871" s="6"/>
    </row>
    <row r="872" spans="1:5">
      <c r="A872" s="6"/>
      <c r="B872" s="6"/>
      <c r="C872" s="6"/>
      <c r="D872" s="6"/>
      <c r="E872" s="6"/>
    </row>
    <row r="873" spans="1:5">
      <c r="A873" s="6"/>
      <c r="B873" s="6"/>
      <c r="C873" s="6"/>
      <c r="D873" s="6"/>
      <c r="E873" s="6"/>
    </row>
    <row r="874" spans="1:5">
      <c r="A874" s="6"/>
      <c r="B874" s="6"/>
      <c r="C874" s="6"/>
      <c r="D874" s="6"/>
      <c r="E874" s="6"/>
    </row>
    <row r="875" spans="1:5">
      <c r="A875" s="6"/>
      <c r="B875" s="6"/>
      <c r="C875" s="6"/>
      <c r="D875" s="6"/>
      <c r="E875" s="6"/>
    </row>
    <row r="876" spans="1:5">
      <c r="A876" s="6"/>
      <c r="B876" s="6"/>
      <c r="C876" s="6"/>
      <c r="D876" s="6"/>
      <c r="E876" s="6"/>
    </row>
    <row r="877" spans="1:5">
      <c r="A877" s="6"/>
      <c r="B877" s="6"/>
      <c r="C877" s="6"/>
      <c r="D877" s="6"/>
      <c r="E877" s="6"/>
    </row>
    <row r="878" spans="1:5">
      <c r="A878" s="6"/>
      <c r="B878" s="6"/>
      <c r="C878" s="6"/>
      <c r="D878" s="6"/>
      <c r="E878" s="6"/>
    </row>
    <row r="879" spans="1:5">
      <c r="A879" s="6"/>
      <c r="B879" s="6"/>
      <c r="C879" s="6"/>
      <c r="D879" s="6"/>
      <c r="E879" s="6"/>
    </row>
    <row r="880" spans="1:5">
      <c r="A880" s="6"/>
      <c r="B880" s="6"/>
      <c r="C880" s="6"/>
      <c r="D880" s="6"/>
      <c r="E880" s="6"/>
    </row>
    <row r="881" spans="1:5">
      <c r="A881" s="6"/>
      <c r="B881" s="6"/>
      <c r="C881" s="6"/>
      <c r="D881" s="6"/>
      <c r="E881" s="6"/>
    </row>
    <row r="882" spans="1:5">
      <c r="A882" s="6"/>
      <c r="B882" s="6"/>
      <c r="C882" s="6"/>
      <c r="D882" s="6"/>
      <c r="E882" s="6"/>
    </row>
    <row r="883" spans="1:5">
      <c r="A883" s="6"/>
      <c r="B883" s="6"/>
      <c r="C883" s="6"/>
      <c r="D883" s="6"/>
      <c r="E883" s="6"/>
    </row>
    <row r="884" spans="1:5">
      <c r="A884" s="6"/>
      <c r="B884" s="6"/>
      <c r="C884" s="6"/>
      <c r="D884" s="6"/>
      <c r="E884" s="6"/>
    </row>
    <row r="885" spans="1:5">
      <c r="A885" s="6"/>
      <c r="B885" s="6"/>
      <c r="C885" s="6"/>
      <c r="D885" s="6"/>
      <c r="E885" s="6"/>
    </row>
    <row r="886" spans="1:5">
      <c r="A886" s="6"/>
      <c r="B886" s="6"/>
      <c r="C886" s="6"/>
      <c r="D886" s="6"/>
      <c r="E886" s="6"/>
    </row>
    <row r="887" spans="1:5">
      <c r="A887" s="6"/>
      <c r="B887" s="6"/>
      <c r="C887" s="6"/>
      <c r="D887" s="6"/>
      <c r="E887" s="6"/>
    </row>
    <row r="888" spans="1:5">
      <c r="A888" s="6"/>
      <c r="B888" s="6"/>
      <c r="C888" s="6"/>
      <c r="D888" s="6"/>
      <c r="E888" s="6"/>
    </row>
    <row r="889" spans="1:5">
      <c r="A889" s="6"/>
      <c r="B889" s="6"/>
      <c r="C889" s="6"/>
      <c r="D889" s="6"/>
      <c r="E889" s="6"/>
    </row>
    <row r="890" spans="1:5">
      <c r="A890" s="6"/>
      <c r="B890" s="6"/>
      <c r="C890" s="6"/>
      <c r="D890" s="6"/>
      <c r="E890" s="6"/>
    </row>
    <row r="891" spans="1:5">
      <c r="A891" s="6"/>
      <c r="B891" s="6"/>
      <c r="C891" s="6"/>
      <c r="D891" s="6"/>
      <c r="E891" s="6"/>
    </row>
    <row r="892" spans="1:5">
      <c r="A892" s="6"/>
      <c r="B892" s="6"/>
      <c r="C892" s="6"/>
      <c r="D892" s="6"/>
      <c r="E892" s="6"/>
    </row>
    <row r="893" spans="1:5">
      <c r="A893" s="6"/>
      <c r="B893" s="6"/>
      <c r="C893" s="6"/>
      <c r="D893" s="6"/>
      <c r="E893" s="6"/>
    </row>
    <row r="894" spans="1:5">
      <c r="A894" s="6"/>
      <c r="B894" s="6"/>
      <c r="C894" s="6"/>
      <c r="D894" s="6"/>
      <c r="E894" s="6"/>
    </row>
    <row r="895" spans="1:5">
      <c r="A895" s="6"/>
      <c r="B895" s="6"/>
      <c r="C895" s="6"/>
      <c r="D895" s="6"/>
      <c r="E895" s="6"/>
    </row>
    <row r="896" spans="1:5">
      <c r="A896" s="6"/>
      <c r="B896" s="6"/>
      <c r="C896" s="6"/>
      <c r="D896" s="6"/>
      <c r="E896" s="6"/>
    </row>
    <row r="897" spans="1:5">
      <c r="A897" s="6"/>
      <c r="B897" s="6"/>
      <c r="C897" s="6"/>
      <c r="D897" s="6"/>
      <c r="E897" s="6"/>
    </row>
    <row r="898" spans="1:5">
      <c r="A898" s="6"/>
      <c r="B898" s="6"/>
      <c r="C898" s="6"/>
      <c r="D898" s="6"/>
      <c r="E898" s="6"/>
    </row>
    <row r="899" spans="1:5">
      <c r="A899" s="6"/>
      <c r="B899" s="6"/>
      <c r="C899" s="6"/>
      <c r="D899" s="6"/>
      <c r="E899" s="6"/>
    </row>
    <row r="900" spans="1:5">
      <c r="A900" s="6"/>
      <c r="B900" s="6"/>
      <c r="C900" s="6"/>
      <c r="D900" s="6"/>
      <c r="E900" s="6"/>
    </row>
    <row r="901" spans="1:5">
      <c r="A901" s="6"/>
      <c r="B901" s="6"/>
      <c r="C901" s="6"/>
      <c r="D901" s="6"/>
      <c r="E901" s="6"/>
    </row>
    <row r="902" spans="1:5">
      <c r="A902" s="6"/>
      <c r="B902" s="6"/>
      <c r="C902" s="6"/>
      <c r="D902" s="6"/>
      <c r="E902" s="6"/>
    </row>
    <row r="903" spans="1:5">
      <c r="A903" s="6"/>
      <c r="B903" s="6"/>
      <c r="C903" s="6"/>
      <c r="D903" s="6"/>
      <c r="E903" s="6"/>
    </row>
    <row r="904" spans="1:5">
      <c r="A904" s="6"/>
      <c r="B904" s="6"/>
      <c r="C904" s="6"/>
      <c r="D904" s="6"/>
      <c r="E904" s="6"/>
    </row>
    <row r="905" spans="1:5">
      <c r="A905" s="6"/>
      <c r="B905" s="6"/>
      <c r="C905" s="6"/>
      <c r="D905" s="6"/>
      <c r="E905" s="6"/>
    </row>
    <row r="906" spans="1:5">
      <c r="A906" s="6"/>
      <c r="B906" s="6"/>
      <c r="C906" s="6"/>
      <c r="D906" s="6"/>
      <c r="E906" s="6"/>
    </row>
    <row r="907" spans="1:5">
      <c r="A907" s="6"/>
      <c r="B907" s="6"/>
      <c r="C907" s="6"/>
      <c r="D907" s="6"/>
      <c r="E907" s="6"/>
    </row>
    <row r="908" spans="1:5">
      <c r="A908" s="6"/>
      <c r="B908" s="6"/>
      <c r="C908" s="6"/>
      <c r="D908" s="6"/>
      <c r="E908" s="6"/>
    </row>
    <row r="909" spans="1:5">
      <c r="A909" s="6"/>
      <c r="B909" s="6"/>
      <c r="C909" s="6"/>
      <c r="D909" s="6"/>
      <c r="E909" s="6"/>
    </row>
    <row r="910" spans="1:5">
      <c r="A910" s="6"/>
      <c r="B910" s="6"/>
      <c r="C910" s="6"/>
      <c r="D910" s="6"/>
      <c r="E910" s="6"/>
    </row>
    <row r="911" spans="1:5">
      <c r="A911" s="6"/>
      <c r="B911" s="6"/>
      <c r="C911" s="6"/>
      <c r="D911" s="6"/>
      <c r="E911" s="6"/>
    </row>
    <row r="912" spans="1:5">
      <c r="A912" s="6"/>
      <c r="B912" s="6"/>
      <c r="C912" s="6"/>
      <c r="D912" s="6"/>
      <c r="E912" s="6"/>
    </row>
    <row r="913" spans="1:5">
      <c r="A913" s="6"/>
      <c r="B913" s="6"/>
      <c r="C913" s="6"/>
      <c r="D913" s="6"/>
      <c r="E913" s="6"/>
    </row>
    <row r="914" spans="1:5">
      <c r="A914" s="6"/>
      <c r="B914" s="6"/>
      <c r="C914" s="6"/>
      <c r="D914" s="6"/>
      <c r="E914" s="6"/>
    </row>
    <row r="915" spans="1:5">
      <c r="A915" s="6"/>
      <c r="B915" s="6"/>
      <c r="C915" s="6"/>
      <c r="D915" s="6"/>
      <c r="E915" s="6"/>
    </row>
    <row r="916" spans="1:5">
      <c r="A916" s="6"/>
      <c r="B916" s="6"/>
      <c r="C916" s="6"/>
      <c r="D916" s="6"/>
      <c r="E916" s="6"/>
    </row>
    <row r="917" spans="1:5">
      <c r="A917" s="6"/>
      <c r="B917" s="6"/>
      <c r="C917" s="6"/>
      <c r="D917" s="6"/>
      <c r="E917" s="6"/>
    </row>
    <row r="918" spans="1:5">
      <c r="A918" s="6"/>
      <c r="B918" s="6"/>
      <c r="C918" s="6"/>
      <c r="D918" s="6"/>
      <c r="E918" s="6"/>
    </row>
    <row r="919" spans="1:5">
      <c r="A919" s="6"/>
      <c r="B919" s="6"/>
      <c r="C919" s="6"/>
      <c r="D919" s="6"/>
      <c r="E919" s="6"/>
    </row>
    <row r="920" spans="1:5">
      <c r="A920" s="6"/>
      <c r="B920" s="6"/>
      <c r="C920" s="6"/>
      <c r="D920" s="6"/>
      <c r="E920" s="6"/>
    </row>
    <row r="921" spans="1:5">
      <c r="A921" s="6"/>
      <c r="B921" s="6"/>
      <c r="C921" s="6"/>
      <c r="D921" s="6"/>
      <c r="E921" s="6"/>
    </row>
    <row r="922" spans="1:5">
      <c r="A922" s="6"/>
      <c r="B922" s="6"/>
      <c r="C922" s="6"/>
      <c r="D922" s="6"/>
      <c r="E922" s="6"/>
    </row>
    <row r="923" spans="1:5">
      <c r="A923" s="6"/>
      <c r="B923" s="6"/>
      <c r="C923" s="6"/>
      <c r="D923" s="6"/>
      <c r="E923" s="6"/>
    </row>
    <row r="924" spans="1:5">
      <c r="A924" s="6"/>
      <c r="B924" s="6"/>
      <c r="C924" s="6"/>
      <c r="D924" s="6"/>
      <c r="E924" s="6"/>
    </row>
    <row r="925" spans="1:5">
      <c r="A925" s="6"/>
      <c r="B925" s="6"/>
      <c r="C925" s="6"/>
      <c r="D925" s="6"/>
      <c r="E925" s="6"/>
    </row>
    <row r="926" spans="1:5">
      <c r="A926" s="6"/>
      <c r="B926" s="6"/>
      <c r="C926" s="6"/>
      <c r="D926" s="6"/>
      <c r="E926" s="6"/>
    </row>
    <row r="927" spans="1:5">
      <c r="A927" s="6"/>
      <c r="B927" s="6"/>
      <c r="C927" s="6"/>
      <c r="D927" s="6"/>
      <c r="E927" s="6"/>
    </row>
    <row r="928" spans="1:5">
      <c r="A928" s="6"/>
      <c r="B928" s="6"/>
      <c r="C928" s="6"/>
      <c r="D928" s="6"/>
      <c r="E928" s="6"/>
    </row>
    <row r="929" spans="1:5">
      <c r="A929" s="6"/>
      <c r="B929" s="6"/>
      <c r="C929" s="6"/>
      <c r="D929" s="6"/>
      <c r="E929" s="6"/>
    </row>
    <row r="930" spans="1:5">
      <c r="A930" s="6"/>
      <c r="B930" s="6"/>
      <c r="C930" s="6"/>
      <c r="D930" s="6"/>
      <c r="E930" s="6"/>
    </row>
    <row r="931" spans="1:5">
      <c r="A931" s="6"/>
      <c r="B931" s="6"/>
      <c r="C931" s="6"/>
      <c r="D931" s="6"/>
      <c r="E931" s="6"/>
    </row>
    <row r="932" spans="1:5">
      <c r="A932" s="6"/>
      <c r="B932" s="6"/>
      <c r="C932" s="6"/>
      <c r="D932" s="6"/>
      <c r="E932" s="6"/>
    </row>
    <row r="933" spans="1:5">
      <c r="A933" s="6"/>
      <c r="B933" s="6"/>
      <c r="C933" s="6"/>
      <c r="D933" s="6"/>
      <c r="E933" s="6"/>
    </row>
    <row r="934" spans="1:5">
      <c r="A934" s="6"/>
      <c r="B934" s="6"/>
      <c r="C934" s="6"/>
      <c r="D934" s="6"/>
      <c r="E934" s="6"/>
    </row>
    <row r="935" spans="1:5">
      <c r="A935" s="6"/>
      <c r="B935" s="6"/>
      <c r="C935" s="6"/>
      <c r="D935" s="6"/>
      <c r="E935" s="6"/>
    </row>
    <row r="936" spans="1:5">
      <c r="A936" s="6"/>
      <c r="B936" s="6"/>
      <c r="C936" s="6"/>
      <c r="D936" s="6"/>
      <c r="E936" s="6"/>
    </row>
    <row r="937" spans="1:5">
      <c r="A937" s="6"/>
      <c r="B937" s="6"/>
      <c r="C937" s="6"/>
      <c r="D937" s="6"/>
      <c r="E937" s="6"/>
    </row>
    <row r="938" spans="1:5">
      <c r="A938" s="6"/>
      <c r="B938" s="6"/>
      <c r="C938" s="6"/>
      <c r="D938" s="6"/>
      <c r="E938" s="6"/>
    </row>
    <row r="939" spans="1:5">
      <c r="A939" s="6"/>
      <c r="B939" s="6"/>
      <c r="C939" s="6"/>
      <c r="D939" s="6"/>
      <c r="E939" s="6"/>
    </row>
    <row r="940" spans="1:5">
      <c r="A940" s="6"/>
      <c r="B940" s="6"/>
      <c r="C940" s="6"/>
      <c r="D940" s="6"/>
      <c r="E940" s="6"/>
    </row>
    <row r="941" spans="1:5">
      <c r="A941" s="6"/>
      <c r="B941" s="6"/>
      <c r="C941" s="6"/>
      <c r="D941" s="6"/>
      <c r="E941" s="6"/>
    </row>
    <row r="942" spans="1:5">
      <c r="A942" s="6"/>
      <c r="B942" s="6"/>
      <c r="C942" s="6"/>
      <c r="D942" s="6"/>
      <c r="E942" s="6"/>
    </row>
    <row r="943" spans="1:5">
      <c r="A943" s="6"/>
      <c r="B943" s="6"/>
      <c r="C943" s="6"/>
      <c r="D943" s="6"/>
      <c r="E943" s="6"/>
    </row>
    <row r="944" spans="1:5">
      <c r="A944" s="6"/>
      <c r="B944" s="6"/>
      <c r="C944" s="6"/>
      <c r="D944" s="6"/>
      <c r="E944" s="6"/>
    </row>
    <row r="945" spans="1:5">
      <c r="A945" s="6"/>
      <c r="B945" s="6"/>
      <c r="C945" s="6"/>
      <c r="D945" s="6"/>
      <c r="E945" s="6"/>
    </row>
    <row r="946" spans="1:5">
      <c r="A946" s="6"/>
      <c r="B946" s="6"/>
      <c r="C946" s="6"/>
      <c r="D946" s="6"/>
      <c r="E946" s="6"/>
    </row>
    <row r="947" spans="1:5">
      <c r="A947" s="6"/>
      <c r="B947" s="6"/>
      <c r="C947" s="6"/>
      <c r="D947" s="6"/>
      <c r="E947" s="6"/>
    </row>
    <row r="948" spans="1:5">
      <c r="A948" s="6"/>
      <c r="B948" s="6"/>
      <c r="C948" s="6"/>
      <c r="D948" s="6"/>
      <c r="E948" s="6"/>
    </row>
    <row r="949" spans="1:5">
      <c r="A949" s="6"/>
      <c r="B949" s="6"/>
      <c r="C949" s="6"/>
      <c r="D949" s="6"/>
      <c r="E949" s="6"/>
    </row>
    <row r="950" spans="1:5">
      <c r="A950" s="6"/>
      <c r="B950" s="6"/>
      <c r="C950" s="6"/>
      <c r="D950" s="6"/>
      <c r="E950" s="6"/>
    </row>
    <row r="951" spans="1:5">
      <c r="A951" s="6"/>
      <c r="B951" s="6"/>
      <c r="C951" s="6"/>
      <c r="D951" s="6"/>
      <c r="E951" s="6"/>
    </row>
    <row r="952" spans="1:5">
      <c r="A952" s="6"/>
      <c r="B952" s="6"/>
      <c r="C952" s="6"/>
      <c r="D952" s="6"/>
      <c r="E952" s="6"/>
    </row>
    <row r="953" spans="1:5">
      <c r="A953" s="6"/>
      <c r="B953" s="6"/>
      <c r="C953" s="6"/>
      <c r="D953" s="6"/>
      <c r="E953" s="6"/>
    </row>
    <row r="954" spans="1:5">
      <c r="A954" s="6"/>
      <c r="B954" s="6"/>
      <c r="C954" s="6"/>
      <c r="D954" s="6"/>
      <c r="E954" s="6"/>
    </row>
    <row r="955" spans="1:5">
      <c r="A955" s="6"/>
      <c r="B955" s="6"/>
      <c r="C955" s="6"/>
      <c r="D955" s="6"/>
      <c r="E955" s="6"/>
    </row>
    <row r="956" spans="1:5">
      <c r="A956" s="6"/>
      <c r="B956" s="6"/>
      <c r="C956" s="6"/>
      <c r="D956" s="6"/>
      <c r="E956" s="6"/>
    </row>
    <row r="957" spans="1:5">
      <c r="A957" s="6"/>
      <c r="B957" s="6"/>
      <c r="C957" s="6"/>
      <c r="D957" s="6"/>
      <c r="E957" s="6"/>
    </row>
    <row r="958" spans="1:5">
      <c r="A958" s="6"/>
      <c r="B958" s="6"/>
      <c r="C958" s="6"/>
      <c r="D958" s="6"/>
      <c r="E958" s="6"/>
    </row>
    <row r="959" spans="1:5">
      <c r="A959" s="6"/>
      <c r="B959" s="6"/>
      <c r="C959" s="6"/>
      <c r="D959" s="6"/>
      <c r="E959" s="6"/>
    </row>
    <row r="960" spans="1:5">
      <c r="A960" s="6"/>
      <c r="B960" s="6"/>
      <c r="C960" s="6"/>
      <c r="D960" s="6"/>
      <c r="E960" s="6"/>
    </row>
    <row r="961" spans="1:5">
      <c r="A961" s="6"/>
      <c r="B961" s="6"/>
      <c r="C961" s="6"/>
      <c r="D961" s="6"/>
      <c r="E961" s="6"/>
    </row>
    <row r="962" spans="1:5">
      <c r="A962" s="6"/>
      <c r="B962" s="6"/>
      <c r="C962" s="6"/>
      <c r="D962" s="6"/>
      <c r="E962" s="6"/>
    </row>
    <row r="963" spans="1:5">
      <c r="A963" s="6"/>
      <c r="B963" s="6"/>
      <c r="C963" s="6"/>
      <c r="D963" s="6"/>
      <c r="E963" s="6"/>
    </row>
    <row r="964" spans="1:5">
      <c r="A964" s="6"/>
      <c r="B964" s="6"/>
      <c r="C964" s="6"/>
      <c r="D964" s="6"/>
      <c r="E964" s="6"/>
    </row>
    <row r="965" spans="1:5">
      <c r="A965" s="6"/>
      <c r="B965" s="6"/>
      <c r="C965" s="6"/>
      <c r="D965" s="6"/>
      <c r="E965" s="6"/>
    </row>
    <row r="966" spans="1:5">
      <c r="A966" s="6"/>
      <c r="B966" s="6"/>
      <c r="C966" s="6"/>
      <c r="D966" s="6"/>
      <c r="E966" s="6"/>
    </row>
    <row r="967" spans="1:5">
      <c r="A967" s="6"/>
      <c r="B967" s="6"/>
      <c r="C967" s="6"/>
      <c r="D967" s="6"/>
      <c r="E967" s="6"/>
    </row>
    <row r="968" spans="1:5">
      <c r="A968" s="6"/>
      <c r="B968" s="6"/>
      <c r="C968" s="6"/>
      <c r="D968" s="6"/>
      <c r="E968" s="6"/>
    </row>
    <row r="969" spans="1:5">
      <c r="A969" s="6"/>
      <c r="B969" s="6"/>
      <c r="C969" s="6"/>
      <c r="D969" s="6"/>
      <c r="E969" s="6"/>
    </row>
    <row r="970" spans="1:5">
      <c r="A970" s="6"/>
      <c r="B970" s="6"/>
      <c r="C970" s="6"/>
      <c r="D970" s="6"/>
      <c r="E970" s="6"/>
    </row>
    <row r="971" spans="1:5">
      <c r="A971" s="6"/>
      <c r="B971" s="6"/>
      <c r="C971" s="6"/>
      <c r="D971" s="6"/>
      <c r="E971" s="6"/>
    </row>
    <row r="972" spans="1:5">
      <c r="A972" s="6"/>
      <c r="B972" s="6"/>
      <c r="C972" s="6"/>
      <c r="D972" s="6"/>
      <c r="E972" s="6"/>
    </row>
    <row r="973" spans="1:5">
      <c r="A973" s="6"/>
      <c r="B973" s="6"/>
      <c r="C973" s="6"/>
      <c r="D973" s="6"/>
      <c r="E973" s="6"/>
    </row>
    <row r="974" spans="1:5">
      <c r="A974" s="6"/>
      <c r="B974" s="6"/>
      <c r="C974" s="6"/>
      <c r="D974" s="6"/>
      <c r="E974" s="6"/>
    </row>
    <row r="975" spans="1:5">
      <c r="A975" s="6"/>
      <c r="B975" s="6"/>
      <c r="C975" s="6"/>
      <c r="D975" s="6"/>
      <c r="E975" s="6"/>
    </row>
    <row r="976" spans="1:5">
      <c r="A976" s="6"/>
      <c r="B976" s="6"/>
      <c r="C976" s="6"/>
      <c r="D976" s="6"/>
      <c r="E976" s="6"/>
    </row>
    <row r="977" spans="1:5">
      <c r="A977" s="6"/>
      <c r="B977" s="6"/>
      <c r="C977" s="6"/>
      <c r="D977" s="6"/>
      <c r="E977" s="6"/>
    </row>
    <row r="978" spans="1:5">
      <c r="A978" s="6"/>
      <c r="B978" s="6"/>
      <c r="C978" s="6"/>
      <c r="D978" s="6"/>
      <c r="E978" s="6"/>
    </row>
    <row r="979" spans="1:5">
      <c r="A979" s="6"/>
      <c r="B979" s="6"/>
      <c r="C979" s="6"/>
      <c r="D979" s="6"/>
      <c r="E979" s="6"/>
    </row>
    <row r="980" spans="1:5">
      <c r="A980" s="6"/>
      <c r="B980" s="6"/>
      <c r="C980" s="6"/>
      <c r="D980" s="6"/>
      <c r="E980" s="6"/>
    </row>
    <row r="981" spans="1:5">
      <c r="A981" s="6"/>
      <c r="B981" s="6"/>
      <c r="C981" s="6"/>
      <c r="D981" s="6"/>
      <c r="E981" s="6"/>
    </row>
    <row r="982" spans="1:5">
      <c r="A982" s="6"/>
      <c r="B982" s="6"/>
      <c r="C982" s="6"/>
      <c r="D982" s="6"/>
      <c r="E982" s="6"/>
    </row>
    <row r="983" spans="1:5">
      <c r="A983" s="6"/>
      <c r="B983" s="6"/>
      <c r="C983" s="6"/>
      <c r="D983" s="6"/>
      <c r="E983" s="6"/>
    </row>
    <row r="984" spans="1:5">
      <c r="A984" s="6"/>
      <c r="B984" s="6"/>
      <c r="C984" s="6"/>
      <c r="D984" s="6"/>
      <c r="E984" s="6"/>
    </row>
    <row r="985" spans="1:5">
      <c r="A985" s="6"/>
      <c r="B985" s="6"/>
      <c r="C985" s="6"/>
      <c r="D985" s="6"/>
      <c r="E985" s="6"/>
    </row>
    <row r="986" spans="1:5">
      <c r="A986" s="6"/>
      <c r="B986" s="6"/>
      <c r="C986" s="6"/>
      <c r="D986" s="6"/>
      <c r="E986" s="6"/>
    </row>
    <row r="987" spans="1:5">
      <c r="A987" s="6"/>
      <c r="B987" s="6"/>
      <c r="C987" s="6"/>
      <c r="D987" s="6"/>
      <c r="E987" s="6"/>
    </row>
    <row r="988" spans="1:5">
      <c r="A988" s="6"/>
      <c r="B988" s="6"/>
      <c r="C988" s="6"/>
      <c r="D988" s="6"/>
      <c r="E988" s="6"/>
    </row>
    <row r="989" spans="1:5">
      <c r="A989" s="6"/>
      <c r="B989" s="6"/>
      <c r="C989" s="6"/>
      <c r="D989" s="6"/>
      <c r="E989" s="6"/>
    </row>
    <row r="990" spans="1:5">
      <c r="A990" s="6"/>
      <c r="B990" s="6"/>
      <c r="C990" s="6"/>
      <c r="D990" s="6"/>
      <c r="E990" s="6"/>
    </row>
    <row r="991" spans="1:5">
      <c r="A991" s="6"/>
      <c r="B991" s="6"/>
      <c r="C991" s="6"/>
      <c r="D991" s="6"/>
      <c r="E991" s="6"/>
    </row>
    <row r="992" spans="1:5">
      <c r="A992" s="6"/>
      <c r="B992" s="6"/>
      <c r="C992" s="6"/>
      <c r="D992" s="6"/>
      <c r="E992" s="6"/>
    </row>
    <row r="993" spans="1:5">
      <c r="A993" s="6"/>
      <c r="B993" s="6"/>
      <c r="C993" s="6"/>
      <c r="D993" s="6"/>
      <c r="E993" s="6"/>
    </row>
    <row r="994" spans="1:5">
      <c r="A994" s="6"/>
      <c r="B994" s="6"/>
      <c r="C994" s="6"/>
      <c r="D994" s="6"/>
      <c r="E994" s="6"/>
    </row>
    <row r="995" spans="1:5">
      <c r="A995" s="6"/>
      <c r="B995" s="6"/>
      <c r="C995" s="6"/>
      <c r="D995" s="6"/>
      <c r="E995" s="6"/>
    </row>
    <row r="996" spans="1:5">
      <c r="A996" s="6"/>
      <c r="B996" s="6"/>
      <c r="C996" s="6"/>
      <c r="D996" s="6"/>
      <c r="E996" s="6"/>
    </row>
    <row r="997" spans="1:5">
      <c r="A997" s="6"/>
      <c r="B997" s="6"/>
      <c r="C997" s="6"/>
      <c r="D997" s="6"/>
      <c r="E997" s="6"/>
    </row>
    <row r="998" spans="1:5">
      <c r="A998" s="6"/>
      <c r="B998" s="6"/>
      <c r="C998" s="6"/>
      <c r="D998" s="6"/>
      <c r="E998" s="6"/>
    </row>
    <row r="999" spans="1:5">
      <c r="A999" s="6"/>
      <c r="B999" s="6"/>
      <c r="C999" s="6"/>
      <c r="D999" s="6"/>
      <c r="E999" s="6"/>
    </row>
    <row r="1000" spans="1:5">
      <c r="A1000" s="6"/>
      <c r="B1000" s="6"/>
      <c r="C1000" s="6"/>
      <c r="D1000" s="6"/>
      <c r="E1000" s="6"/>
    </row>
  </sheetData>
  <mergeCells count="26">
    <mergeCell ref="A65:C65"/>
    <mergeCell ref="A66:C66"/>
    <mergeCell ref="A67:C67"/>
    <mergeCell ref="A68:C68"/>
    <mergeCell ref="A39:C39"/>
    <mergeCell ref="A40:C40"/>
    <mergeCell ref="A41:C41"/>
    <mergeCell ref="A42:C42"/>
    <mergeCell ref="A43:C43"/>
    <mergeCell ref="A44:C44"/>
    <mergeCell ref="A63:C63"/>
    <mergeCell ref="A35:C35"/>
    <mergeCell ref="A36:C36"/>
    <mergeCell ref="A37:C37"/>
    <mergeCell ref="A38:C38"/>
    <mergeCell ref="A64:C64"/>
    <mergeCell ref="A6:C6"/>
    <mergeCell ref="A7:C7"/>
    <mergeCell ref="A32:C32"/>
    <mergeCell ref="A33:C33"/>
    <mergeCell ref="A34:C34"/>
    <mergeCell ref="A1:C1"/>
    <mergeCell ref="A2:C2"/>
    <mergeCell ref="A3:C3"/>
    <mergeCell ref="A4:C4"/>
    <mergeCell ref="A5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Analysis</vt:lpstr>
      <vt:lpstr>Double Analysis</vt:lpstr>
      <vt:lpstr>Comparison</vt:lpstr>
      <vt:lpstr>Manual Fitting</vt:lpstr>
      <vt:lpstr>Guts</vt:lpstr>
      <vt:lpstr>Guts!solver_adj</vt:lpstr>
      <vt:lpstr>Analysis!solver_opt</vt:lpstr>
      <vt:lpstr>Guts!solver_opt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akhramov@btc.edu</dc:creator>
  <cp:lastModifiedBy>Parry Zhuo</cp:lastModifiedBy>
  <dcterms:created xsi:type="dcterms:W3CDTF">2020-05-25T16:54:48Z</dcterms:created>
  <dcterms:modified xsi:type="dcterms:W3CDTF">2026-01-22T05:01:18Z</dcterms:modified>
</cp:coreProperties>
</file>